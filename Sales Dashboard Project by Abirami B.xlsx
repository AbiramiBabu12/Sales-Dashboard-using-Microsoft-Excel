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1A1EDD9F-7537-44B6-B05A-EF3E32994367}" xr6:coauthVersionLast="47" xr6:coauthVersionMax="47" xr10:uidLastSave="{00000000-0000-0000-0000-000000000000}"/>
  <bookViews>
    <workbookView xWindow="-110" yWindow="-110" windowWidth="19420" windowHeight="10300" activeTab="4" xr2:uid="{00000000-000D-0000-FFFF-FFFF00000000}"/>
  </bookViews>
  <sheets>
    <sheet name="Sales Data" sheetId="1" r:id="rId1"/>
    <sheet name="Product_Master" sheetId="2" r:id="rId2"/>
    <sheet name="Customer_Master" sheetId="3" r:id="rId3"/>
    <sheet name="Analysis" sheetId="5" r:id="rId4"/>
    <sheet name="Sales Dashboard" sheetId="6" r:id="rId5"/>
  </sheets>
  <definedNames>
    <definedName name="_xlnm.Print_Area" localSheetId="4">'Sales Dashboard'!$F$1:$W$64</definedName>
    <definedName name="Slicer_Category">#N/A</definedName>
    <definedName name="Slicer_Region">#N/A</definedName>
    <definedName name="Slicer_Segment">#N/A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 i="6" l="1"/>
  <c r="J6" i="6"/>
  <c r="M6" i="6"/>
  <c r="T6" i="6"/>
  <c r="P6" i="6"/>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P2" i="1"/>
  <c r="N3" i="1"/>
  <c r="N4" i="1"/>
  <c r="P4" i="1" s="1"/>
  <c r="N5" i="1"/>
  <c r="P5" i="1" s="1"/>
  <c r="N6" i="1"/>
  <c r="P6" i="1" s="1"/>
  <c r="N7" i="1"/>
  <c r="P7" i="1" s="1"/>
  <c r="N8" i="1"/>
  <c r="P8" i="1" s="1"/>
  <c r="N9" i="1"/>
  <c r="P9" i="1" s="1"/>
  <c r="N10" i="1"/>
  <c r="P10" i="1" s="1"/>
  <c r="N11" i="1"/>
  <c r="P11" i="1" s="1"/>
  <c r="N12" i="1"/>
  <c r="P12" i="1" s="1"/>
  <c r="N13" i="1"/>
  <c r="P13" i="1" s="1"/>
  <c r="N14" i="1"/>
  <c r="P14" i="1" s="1"/>
  <c r="N15" i="1"/>
  <c r="P15" i="1" s="1"/>
  <c r="N16" i="1"/>
  <c r="P16" i="1" s="1"/>
  <c r="N17" i="1"/>
  <c r="P17" i="1" s="1"/>
  <c r="N18" i="1"/>
  <c r="P18" i="1" s="1"/>
  <c r="N19" i="1"/>
  <c r="P19" i="1" s="1"/>
  <c r="N20" i="1"/>
  <c r="P20" i="1" s="1"/>
  <c r="N21" i="1"/>
  <c r="P21" i="1" s="1"/>
  <c r="N22" i="1"/>
  <c r="P22" i="1" s="1"/>
  <c r="N23" i="1"/>
  <c r="P23" i="1" s="1"/>
  <c r="N24" i="1"/>
  <c r="P24" i="1" s="1"/>
  <c r="N25" i="1"/>
  <c r="P25" i="1" s="1"/>
  <c r="N26" i="1"/>
  <c r="P26" i="1" s="1"/>
  <c r="N27" i="1"/>
  <c r="P27" i="1" s="1"/>
  <c r="N28" i="1"/>
  <c r="P28" i="1" s="1"/>
  <c r="N29" i="1"/>
  <c r="P29" i="1" s="1"/>
  <c r="N30" i="1"/>
  <c r="P30" i="1" s="1"/>
  <c r="N31" i="1"/>
  <c r="P31" i="1" s="1"/>
  <c r="N32" i="1"/>
  <c r="P32" i="1" s="1"/>
  <c r="N33" i="1"/>
  <c r="P33" i="1" s="1"/>
  <c r="N34" i="1"/>
  <c r="P34" i="1" s="1"/>
  <c r="N35" i="1"/>
  <c r="P35" i="1" s="1"/>
  <c r="N36" i="1"/>
  <c r="P36" i="1" s="1"/>
  <c r="N37" i="1"/>
  <c r="P37" i="1" s="1"/>
  <c r="N38" i="1"/>
  <c r="P38" i="1" s="1"/>
  <c r="N39" i="1"/>
  <c r="P39" i="1" s="1"/>
  <c r="N40" i="1"/>
  <c r="P40" i="1" s="1"/>
  <c r="N41" i="1"/>
  <c r="P41" i="1" s="1"/>
  <c r="N42" i="1"/>
  <c r="P42" i="1" s="1"/>
  <c r="N43" i="1"/>
  <c r="P43" i="1" s="1"/>
  <c r="N44" i="1"/>
  <c r="P44" i="1" s="1"/>
  <c r="N45" i="1"/>
  <c r="P45" i="1" s="1"/>
  <c r="N46" i="1"/>
  <c r="P46" i="1" s="1"/>
  <c r="N47" i="1"/>
  <c r="P47" i="1" s="1"/>
  <c r="N48" i="1"/>
  <c r="P48" i="1" s="1"/>
  <c r="N49" i="1"/>
  <c r="P49" i="1" s="1"/>
  <c r="N50" i="1"/>
  <c r="P50" i="1" s="1"/>
  <c r="N51" i="1"/>
  <c r="P51" i="1" s="1"/>
  <c r="N52" i="1"/>
  <c r="P52" i="1" s="1"/>
  <c r="N53" i="1"/>
  <c r="P53" i="1" s="1"/>
  <c r="N54" i="1"/>
  <c r="P54" i="1" s="1"/>
  <c r="N55" i="1"/>
  <c r="P55" i="1" s="1"/>
  <c r="N56" i="1"/>
  <c r="P56" i="1" s="1"/>
  <c r="N57" i="1"/>
  <c r="P57" i="1" s="1"/>
  <c r="N58" i="1"/>
  <c r="P58" i="1" s="1"/>
  <c r="N59" i="1"/>
  <c r="P59" i="1" s="1"/>
  <c r="N60" i="1"/>
  <c r="P60" i="1" s="1"/>
  <c r="N61" i="1"/>
  <c r="P61" i="1" s="1"/>
  <c r="N62" i="1"/>
  <c r="P62" i="1" s="1"/>
  <c r="N63" i="1"/>
  <c r="P63" i="1" s="1"/>
  <c r="N64" i="1"/>
  <c r="P64" i="1" s="1"/>
  <c r="N65" i="1"/>
  <c r="P65" i="1" s="1"/>
  <c r="N66" i="1"/>
  <c r="P66" i="1" s="1"/>
  <c r="N67" i="1"/>
  <c r="P67" i="1" s="1"/>
  <c r="N68" i="1"/>
  <c r="P68" i="1" s="1"/>
  <c r="N69" i="1"/>
  <c r="P69" i="1" s="1"/>
  <c r="N70" i="1"/>
  <c r="P70" i="1" s="1"/>
  <c r="N71" i="1"/>
  <c r="P71" i="1" s="1"/>
  <c r="N72" i="1"/>
  <c r="P72" i="1" s="1"/>
  <c r="N73" i="1"/>
  <c r="P73" i="1" s="1"/>
  <c r="N74" i="1"/>
  <c r="P74" i="1" s="1"/>
  <c r="N75" i="1"/>
  <c r="P75" i="1" s="1"/>
  <c r="N76" i="1"/>
  <c r="P76" i="1" s="1"/>
  <c r="N77" i="1"/>
  <c r="P77" i="1" s="1"/>
  <c r="N78" i="1"/>
  <c r="P78" i="1" s="1"/>
  <c r="N79" i="1"/>
  <c r="P79" i="1" s="1"/>
  <c r="N80" i="1"/>
  <c r="P80" i="1" s="1"/>
  <c r="N81" i="1"/>
  <c r="P81" i="1" s="1"/>
  <c r="N82" i="1"/>
  <c r="P82" i="1" s="1"/>
  <c r="N83" i="1"/>
  <c r="P83" i="1" s="1"/>
  <c r="N84" i="1"/>
  <c r="P84" i="1" s="1"/>
  <c r="N85" i="1"/>
  <c r="P85" i="1" s="1"/>
  <c r="N86" i="1"/>
  <c r="P86" i="1" s="1"/>
  <c r="N87" i="1"/>
  <c r="P87" i="1" s="1"/>
  <c r="N88" i="1"/>
  <c r="P88" i="1" s="1"/>
  <c r="N89" i="1"/>
  <c r="P89" i="1" s="1"/>
  <c r="N90" i="1"/>
  <c r="P90" i="1" s="1"/>
  <c r="N91" i="1"/>
  <c r="P91" i="1" s="1"/>
  <c r="N92" i="1"/>
  <c r="P92" i="1" s="1"/>
  <c r="N93" i="1"/>
  <c r="P93" i="1" s="1"/>
  <c r="N94" i="1"/>
  <c r="P94" i="1" s="1"/>
  <c r="N95" i="1"/>
  <c r="P95" i="1" s="1"/>
  <c r="N96" i="1"/>
  <c r="P96" i="1" s="1"/>
  <c r="N97" i="1"/>
  <c r="P97" i="1" s="1"/>
  <c r="N98" i="1"/>
  <c r="P98" i="1" s="1"/>
  <c r="N99" i="1"/>
  <c r="P99" i="1" s="1"/>
  <c r="N100" i="1"/>
  <c r="P100" i="1" s="1"/>
  <c r="N101" i="1"/>
  <c r="P101" i="1" s="1"/>
  <c r="N102" i="1"/>
  <c r="P102" i="1" s="1"/>
  <c r="N103" i="1"/>
  <c r="P103" i="1" s="1"/>
  <c r="N104" i="1"/>
  <c r="P104" i="1" s="1"/>
  <c r="N105" i="1"/>
  <c r="P105" i="1" s="1"/>
  <c r="N106" i="1"/>
  <c r="P106" i="1" s="1"/>
  <c r="N107" i="1"/>
  <c r="P107" i="1" s="1"/>
  <c r="N108" i="1"/>
  <c r="P108" i="1" s="1"/>
  <c r="N109" i="1"/>
  <c r="P109" i="1" s="1"/>
  <c r="N110" i="1"/>
  <c r="P110" i="1" s="1"/>
  <c r="N111" i="1"/>
  <c r="P111" i="1" s="1"/>
  <c r="N112" i="1"/>
  <c r="P112" i="1" s="1"/>
  <c r="N113" i="1"/>
  <c r="P113" i="1" s="1"/>
  <c r="N114" i="1"/>
  <c r="P114" i="1" s="1"/>
  <c r="N115" i="1"/>
  <c r="P115" i="1" s="1"/>
  <c r="N116" i="1"/>
  <c r="P116" i="1" s="1"/>
  <c r="N117" i="1"/>
  <c r="P117" i="1" s="1"/>
  <c r="N118" i="1"/>
  <c r="P118" i="1" s="1"/>
  <c r="N119" i="1"/>
  <c r="P119" i="1" s="1"/>
  <c r="N120" i="1"/>
  <c r="P120" i="1" s="1"/>
  <c r="N121" i="1"/>
  <c r="P121" i="1" s="1"/>
  <c r="N122" i="1"/>
  <c r="P122" i="1" s="1"/>
  <c r="N123" i="1"/>
  <c r="P123" i="1" s="1"/>
  <c r="N124" i="1"/>
  <c r="P124" i="1" s="1"/>
  <c r="N125" i="1"/>
  <c r="P125" i="1" s="1"/>
  <c r="N126" i="1"/>
  <c r="P126" i="1" s="1"/>
  <c r="N127" i="1"/>
  <c r="P127" i="1" s="1"/>
  <c r="N128" i="1"/>
  <c r="P128" i="1" s="1"/>
  <c r="N129" i="1"/>
  <c r="P129" i="1" s="1"/>
  <c r="N130" i="1"/>
  <c r="P130" i="1" s="1"/>
  <c r="N131" i="1"/>
  <c r="P131" i="1" s="1"/>
  <c r="N132" i="1"/>
  <c r="P132" i="1" s="1"/>
  <c r="N133" i="1"/>
  <c r="P133" i="1" s="1"/>
  <c r="N134" i="1"/>
  <c r="P134" i="1" s="1"/>
  <c r="N135" i="1"/>
  <c r="P135" i="1" s="1"/>
  <c r="N136" i="1"/>
  <c r="P136" i="1" s="1"/>
  <c r="N137" i="1"/>
  <c r="P137" i="1" s="1"/>
  <c r="N138" i="1"/>
  <c r="P138" i="1" s="1"/>
  <c r="N139" i="1"/>
  <c r="P139" i="1" s="1"/>
  <c r="N140" i="1"/>
  <c r="P140" i="1" s="1"/>
  <c r="N141" i="1"/>
  <c r="P141" i="1" s="1"/>
  <c r="N142" i="1"/>
  <c r="P142" i="1" s="1"/>
  <c r="N143" i="1"/>
  <c r="P143" i="1" s="1"/>
  <c r="N144" i="1"/>
  <c r="P144" i="1" s="1"/>
  <c r="N145" i="1"/>
  <c r="P145" i="1" s="1"/>
  <c r="N146" i="1"/>
  <c r="P146" i="1" s="1"/>
  <c r="N147" i="1"/>
  <c r="P147" i="1" s="1"/>
  <c r="N148" i="1"/>
  <c r="P148" i="1" s="1"/>
  <c r="N149" i="1"/>
  <c r="P149" i="1" s="1"/>
  <c r="N150" i="1"/>
  <c r="P150" i="1" s="1"/>
  <c r="N151" i="1"/>
  <c r="P151" i="1" s="1"/>
  <c r="N152" i="1"/>
  <c r="P152" i="1" s="1"/>
  <c r="N153" i="1"/>
  <c r="P153" i="1" s="1"/>
  <c r="N154" i="1"/>
  <c r="P154" i="1" s="1"/>
  <c r="N155" i="1"/>
  <c r="P155" i="1" s="1"/>
  <c r="N156" i="1"/>
  <c r="P156" i="1" s="1"/>
  <c r="N157" i="1"/>
  <c r="P157" i="1" s="1"/>
  <c r="N158" i="1"/>
  <c r="P158" i="1" s="1"/>
  <c r="N159" i="1"/>
  <c r="P159" i="1" s="1"/>
  <c r="N160" i="1"/>
  <c r="P160" i="1" s="1"/>
  <c r="N161" i="1"/>
  <c r="P161" i="1" s="1"/>
  <c r="N162" i="1"/>
  <c r="P162" i="1" s="1"/>
  <c r="N163" i="1"/>
  <c r="P163" i="1" s="1"/>
  <c r="N164" i="1"/>
  <c r="P164" i="1" s="1"/>
  <c r="N165" i="1"/>
  <c r="P165" i="1" s="1"/>
  <c r="N166" i="1"/>
  <c r="P166" i="1" s="1"/>
  <c r="N167" i="1"/>
  <c r="P167" i="1" s="1"/>
  <c r="N168" i="1"/>
  <c r="P168" i="1" s="1"/>
  <c r="N169" i="1"/>
  <c r="P169" i="1" s="1"/>
  <c r="N170" i="1"/>
  <c r="P170" i="1" s="1"/>
  <c r="N171" i="1"/>
  <c r="P171" i="1" s="1"/>
  <c r="N172" i="1"/>
  <c r="P172" i="1" s="1"/>
  <c r="N173" i="1"/>
  <c r="P173" i="1" s="1"/>
  <c r="N174" i="1"/>
  <c r="P174" i="1" s="1"/>
  <c r="N175" i="1"/>
  <c r="P175" i="1" s="1"/>
  <c r="N176" i="1"/>
  <c r="P176" i="1" s="1"/>
  <c r="N177" i="1"/>
  <c r="P177" i="1" s="1"/>
  <c r="N178" i="1"/>
  <c r="P178" i="1" s="1"/>
  <c r="N179" i="1"/>
  <c r="P179" i="1" s="1"/>
  <c r="N180" i="1"/>
  <c r="P180" i="1" s="1"/>
  <c r="N181" i="1"/>
  <c r="P181" i="1" s="1"/>
  <c r="N182" i="1"/>
  <c r="P182" i="1" s="1"/>
  <c r="N183" i="1"/>
  <c r="P183" i="1" s="1"/>
  <c r="N184" i="1"/>
  <c r="P184" i="1" s="1"/>
  <c r="N185" i="1"/>
  <c r="P185" i="1" s="1"/>
  <c r="N186" i="1"/>
  <c r="P186" i="1" s="1"/>
  <c r="N187" i="1"/>
  <c r="P187" i="1" s="1"/>
  <c r="N188" i="1"/>
  <c r="P188" i="1" s="1"/>
  <c r="N189" i="1"/>
  <c r="P189" i="1" s="1"/>
  <c r="N190" i="1"/>
  <c r="P190" i="1" s="1"/>
  <c r="N191" i="1"/>
  <c r="P191" i="1" s="1"/>
  <c r="N192" i="1"/>
  <c r="P192" i="1" s="1"/>
  <c r="N193" i="1"/>
  <c r="P193" i="1" s="1"/>
  <c r="N194" i="1"/>
  <c r="P194" i="1" s="1"/>
  <c r="N195" i="1"/>
  <c r="P195" i="1" s="1"/>
  <c r="N196" i="1"/>
  <c r="P196" i="1" s="1"/>
  <c r="N197" i="1"/>
  <c r="P197" i="1" s="1"/>
  <c r="N198" i="1"/>
  <c r="P198" i="1" s="1"/>
  <c r="N199" i="1"/>
  <c r="P199" i="1" s="1"/>
  <c r="N200" i="1"/>
  <c r="P200" i="1" s="1"/>
  <c r="N201" i="1"/>
  <c r="P201" i="1" s="1"/>
  <c r="N202" i="1"/>
  <c r="P202" i="1" s="1"/>
  <c r="N203" i="1"/>
  <c r="P203" i="1" s="1"/>
  <c r="N204" i="1"/>
  <c r="P204" i="1" s="1"/>
  <c r="N205" i="1"/>
  <c r="P205" i="1" s="1"/>
  <c r="N206" i="1"/>
  <c r="P206" i="1" s="1"/>
  <c r="N207" i="1"/>
  <c r="P207" i="1" s="1"/>
  <c r="N208" i="1"/>
  <c r="P208" i="1" s="1"/>
  <c r="N209" i="1"/>
  <c r="P209" i="1" s="1"/>
  <c r="N210" i="1"/>
  <c r="P210" i="1" s="1"/>
  <c r="N211" i="1"/>
  <c r="P211" i="1" s="1"/>
  <c r="N212" i="1"/>
  <c r="P212" i="1" s="1"/>
  <c r="N213" i="1"/>
  <c r="P213" i="1" s="1"/>
  <c r="N214" i="1"/>
  <c r="P214" i="1" s="1"/>
  <c r="N215" i="1"/>
  <c r="P215" i="1" s="1"/>
  <c r="N216" i="1"/>
  <c r="P216" i="1" s="1"/>
  <c r="N217" i="1"/>
  <c r="P217" i="1" s="1"/>
  <c r="N218" i="1"/>
  <c r="P218" i="1" s="1"/>
  <c r="N219" i="1"/>
  <c r="P219" i="1" s="1"/>
  <c r="N220" i="1"/>
  <c r="P220" i="1" s="1"/>
  <c r="N221" i="1"/>
  <c r="P221" i="1" s="1"/>
  <c r="N222" i="1"/>
  <c r="P222" i="1" s="1"/>
  <c r="N223" i="1"/>
  <c r="P223" i="1" s="1"/>
  <c r="N224" i="1"/>
  <c r="P224" i="1" s="1"/>
  <c r="N225" i="1"/>
  <c r="P225" i="1" s="1"/>
  <c r="N226" i="1"/>
  <c r="P226" i="1" s="1"/>
  <c r="N227" i="1"/>
  <c r="P227" i="1" s="1"/>
  <c r="N228" i="1"/>
  <c r="P228" i="1" s="1"/>
  <c r="N229" i="1"/>
  <c r="P229" i="1" s="1"/>
  <c r="N230" i="1"/>
  <c r="P230" i="1" s="1"/>
  <c r="N231" i="1"/>
  <c r="P231" i="1" s="1"/>
  <c r="N232" i="1"/>
  <c r="P232" i="1" s="1"/>
  <c r="N233" i="1"/>
  <c r="P233" i="1" s="1"/>
  <c r="N234" i="1"/>
  <c r="P234" i="1" s="1"/>
  <c r="N235" i="1"/>
  <c r="P235" i="1" s="1"/>
  <c r="N236" i="1"/>
  <c r="P236" i="1" s="1"/>
  <c r="N237" i="1"/>
  <c r="P237" i="1" s="1"/>
  <c r="N238" i="1"/>
  <c r="P238" i="1" s="1"/>
  <c r="N239" i="1"/>
  <c r="P239" i="1" s="1"/>
  <c r="N240" i="1"/>
  <c r="P240" i="1" s="1"/>
  <c r="N241" i="1"/>
  <c r="P241" i="1" s="1"/>
  <c r="N242" i="1"/>
  <c r="P242" i="1" s="1"/>
  <c r="N243" i="1"/>
  <c r="P243" i="1" s="1"/>
  <c r="N244" i="1"/>
  <c r="P244" i="1" s="1"/>
  <c r="N245" i="1"/>
  <c r="P245" i="1" s="1"/>
  <c r="N246" i="1"/>
  <c r="P246" i="1" s="1"/>
  <c r="N247" i="1"/>
  <c r="P247" i="1" s="1"/>
  <c r="N248" i="1"/>
  <c r="P248" i="1" s="1"/>
  <c r="N249" i="1"/>
  <c r="P249" i="1" s="1"/>
  <c r="N250" i="1"/>
  <c r="P250" i="1" s="1"/>
  <c r="N251" i="1"/>
  <c r="P251" i="1" s="1"/>
  <c r="N252" i="1"/>
  <c r="P252" i="1" s="1"/>
  <c r="N253" i="1"/>
  <c r="P253" i="1" s="1"/>
  <c r="N254" i="1"/>
  <c r="P254" i="1" s="1"/>
  <c r="N255" i="1"/>
  <c r="P255" i="1" s="1"/>
  <c r="N256" i="1"/>
  <c r="P256" i="1" s="1"/>
  <c r="N257" i="1"/>
  <c r="P257" i="1" s="1"/>
  <c r="N258" i="1"/>
  <c r="P258" i="1" s="1"/>
  <c r="N259" i="1"/>
  <c r="P259" i="1" s="1"/>
  <c r="N260" i="1"/>
  <c r="P260" i="1" s="1"/>
  <c r="N261" i="1"/>
  <c r="P261" i="1" s="1"/>
  <c r="N262" i="1"/>
  <c r="P262" i="1" s="1"/>
  <c r="N263" i="1"/>
  <c r="P263" i="1" s="1"/>
  <c r="N264" i="1"/>
  <c r="P264" i="1" s="1"/>
  <c r="N265" i="1"/>
  <c r="P265" i="1" s="1"/>
  <c r="N266" i="1"/>
  <c r="P266" i="1" s="1"/>
  <c r="N267" i="1"/>
  <c r="P267" i="1" s="1"/>
  <c r="N268" i="1"/>
  <c r="P268" i="1" s="1"/>
  <c r="N269" i="1"/>
  <c r="P269" i="1" s="1"/>
  <c r="N270" i="1"/>
  <c r="P270" i="1" s="1"/>
  <c r="N271" i="1"/>
  <c r="P271" i="1" s="1"/>
  <c r="N272" i="1"/>
  <c r="P272" i="1" s="1"/>
  <c r="N273" i="1"/>
  <c r="P273" i="1" s="1"/>
  <c r="N274" i="1"/>
  <c r="P274" i="1" s="1"/>
  <c r="N275" i="1"/>
  <c r="P275" i="1" s="1"/>
  <c r="N276" i="1"/>
  <c r="P276" i="1" s="1"/>
  <c r="N277" i="1"/>
  <c r="P277" i="1" s="1"/>
  <c r="N278" i="1"/>
  <c r="P278" i="1" s="1"/>
  <c r="N279" i="1"/>
  <c r="P279" i="1" s="1"/>
  <c r="N280" i="1"/>
  <c r="P280" i="1" s="1"/>
  <c r="N281" i="1"/>
  <c r="P281" i="1" s="1"/>
  <c r="N282" i="1"/>
  <c r="P282" i="1" s="1"/>
  <c r="N283" i="1"/>
  <c r="P283" i="1" s="1"/>
  <c r="N284" i="1"/>
  <c r="P284" i="1" s="1"/>
  <c r="N285" i="1"/>
  <c r="P285" i="1" s="1"/>
  <c r="N286" i="1"/>
  <c r="P286" i="1" s="1"/>
  <c r="N287" i="1"/>
  <c r="P287" i="1" s="1"/>
  <c r="N288" i="1"/>
  <c r="P288" i="1" s="1"/>
  <c r="N289" i="1"/>
  <c r="P289" i="1" s="1"/>
  <c r="N290" i="1"/>
  <c r="P290" i="1" s="1"/>
  <c r="N291" i="1"/>
  <c r="P291" i="1" s="1"/>
  <c r="N292" i="1"/>
  <c r="P292" i="1" s="1"/>
  <c r="N293" i="1"/>
  <c r="P293" i="1" s="1"/>
  <c r="N294" i="1"/>
  <c r="P294" i="1" s="1"/>
  <c r="N295" i="1"/>
  <c r="P295" i="1" s="1"/>
  <c r="N296" i="1"/>
  <c r="P296" i="1" s="1"/>
  <c r="N297" i="1"/>
  <c r="P297" i="1" s="1"/>
  <c r="N298" i="1"/>
  <c r="P298" i="1" s="1"/>
  <c r="N299" i="1"/>
  <c r="P299" i="1" s="1"/>
  <c r="N300" i="1"/>
  <c r="P300" i="1" s="1"/>
  <c r="N301" i="1"/>
  <c r="P301" i="1" s="1"/>
  <c r="N302" i="1"/>
  <c r="P302" i="1" s="1"/>
  <c r="N303" i="1"/>
  <c r="P303" i="1" s="1"/>
  <c r="N304" i="1"/>
  <c r="P304" i="1" s="1"/>
  <c r="N305" i="1"/>
  <c r="P305" i="1" s="1"/>
  <c r="N306" i="1"/>
  <c r="P306" i="1" s="1"/>
  <c r="N307" i="1"/>
  <c r="P307" i="1" s="1"/>
  <c r="N308" i="1"/>
  <c r="P308" i="1" s="1"/>
  <c r="N309" i="1"/>
  <c r="P309" i="1" s="1"/>
  <c r="N310" i="1"/>
  <c r="P310" i="1" s="1"/>
  <c r="N311" i="1"/>
  <c r="P311" i="1" s="1"/>
  <c r="N312" i="1"/>
  <c r="P312" i="1" s="1"/>
  <c r="N313" i="1"/>
  <c r="P313" i="1" s="1"/>
  <c r="N314" i="1"/>
  <c r="P314" i="1" s="1"/>
  <c r="N315" i="1"/>
  <c r="P315" i="1" s="1"/>
  <c r="N316" i="1"/>
  <c r="P316" i="1" s="1"/>
  <c r="N317" i="1"/>
  <c r="P317" i="1" s="1"/>
  <c r="N318" i="1"/>
  <c r="P318" i="1" s="1"/>
  <c r="N319" i="1"/>
  <c r="P319" i="1" s="1"/>
  <c r="N320" i="1"/>
  <c r="P320" i="1" s="1"/>
  <c r="N321" i="1"/>
  <c r="P321" i="1" s="1"/>
  <c r="N322" i="1"/>
  <c r="P322" i="1" s="1"/>
  <c r="N323" i="1"/>
  <c r="P323" i="1" s="1"/>
  <c r="N324" i="1"/>
  <c r="P324" i="1" s="1"/>
  <c r="N325" i="1"/>
  <c r="P325" i="1" s="1"/>
  <c r="N326" i="1"/>
  <c r="P326" i="1" s="1"/>
  <c r="N327" i="1"/>
  <c r="P327" i="1" s="1"/>
  <c r="N328" i="1"/>
  <c r="P328" i="1" s="1"/>
  <c r="N329" i="1"/>
  <c r="P329" i="1" s="1"/>
  <c r="N330" i="1"/>
  <c r="P330" i="1" s="1"/>
  <c r="N331" i="1"/>
  <c r="P331" i="1" s="1"/>
  <c r="N332" i="1"/>
  <c r="P332" i="1" s="1"/>
  <c r="N333" i="1"/>
  <c r="P333" i="1" s="1"/>
  <c r="N334" i="1"/>
  <c r="P334" i="1" s="1"/>
  <c r="N335" i="1"/>
  <c r="P335" i="1" s="1"/>
  <c r="N336" i="1"/>
  <c r="P336" i="1" s="1"/>
  <c r="N337" i="1"/>
  <c r="P337" i="1" s="1"/>
  <c r="N338" i="1"/>
  <c r="P338" i="1" s="1"/>
  <c r="N339" i="1"/>
  <c r="P339" i="1" s="1"/>
  <c r="N340" i="1"/>
  <c r="P340" i="1" s="1"/>
  <c r="N341" i="1"/>
  <c r="P341" i="1" s="1"/>
  <c r="N342" i="1"/>
  <c r="P342" i="1" s="1"/>
  <c r="N343" i="1"/>
  <c r="P343" i="1" s="1"/>
  <c r="N344" i="1"/>
  <c r="P344" i="1" s="1"/>
  <c r="N345" i="1"/>
  <c r="P345" i="1" s="1"/>
  <c r="N346" i="1"/>
  <c r="P346" i="1" s="1"/>
  <c r="N347" i="1"/>
  <c r="P347" i="1" s="1"/>
  <c r="N348" i="1"/>
  <c r="P348" i="1" s="1"/>
  <c r="N349" i="1"/>
  <c r="P349" i="1" s="1"/>
  <c r="N350" i="1"/>
  <c r="P350" i="1" s="1"/>
  <c r="N351" i="1"/>
  <c r="P351" i="1" s="1"/>
  <c r="N352" i="1"/>
  <c r="P352" i="1" s="1"/>
  <c r="N353" i="1"/>
  <c r="P353" i="1" s="1"/>
  <c r="N354" i="1"/>
  <c r="P354" i="1" s="1"/>
  <c r="N355" i="1"/>
  <c r="P355" i="1" s="1"/>
  <c r="N356" i="1"/>
  <c r="P356" i="1" s="1"/>
  <c r="N357" i="1"/>
  <c r="P357" i="1" s="1"/>
  <c r="N358" i="1"/>
  <c r="P358" i="1" s="1"/>
  <c r="N359" i="1"/>
  <c r="P359" i="1" s="1"/>
  <c r="N360" i="1"/>
  <c r="P360" i="1" s="1"/>
  <c r="N361" i="1"/>
  <c r="P361" i="1" s="1"/>
  <c r="N362" i="1"/>
  <c r="P362" i="1" s="1"/>
  <c r="N363" i="1"/>
  <c r="P363" i="1" s="1"/>
  <c r="N364" i="1"/>
  <c r="P364" i="1" s="1"/>
  <c r="N365" i="1"/>
  <c r="P365" i="1" s="1"/>
  <c r="N366" i="1"/>
  <c r="P366" i="1" s="1"/>
  <c r="N367" i="1"/>
  <c r="P367" i="1" s="1"/>
  <c r="N368" i="1"/>
  <c r="P368" i="1" s="1"/>
  <c r="N369" i="1"/>
  <c r="P369" i="1" s="1"/>
  <c r="N370" i="1"/>
  <c r="P370" i="1" s="1"/>
  <c r="N371" i="1"/>
  <c r="P371" i="1" s="1"/>
  <c r="N372" i="1"/>
  <c r="P372" i="1" s="1"/>
  <c r="N373" i="1"/>
  <c r="P373" i="1" s="1"/>
  <c r="N374" i="1"/>
  <c r="P374" i="1" s="1"/>
  <c r="N375" i="1"/>
  <c r="P375" i="1" s="1"/>
  <c r="N376" i="1"/>
  <c r="P376" i="1" s="1"/>
  <c r="N377" i="1"/>
  <c r="P377" i="1" s="1"/>
  <c r="N378" i="1"/>
  <c r="P378" i="1" s="1"/>
  <c r="N379" i="1"/>
  <c r="P379" i="1" s="1"/>
  <c r="N380" i="1"/>
  <c r="P380" i="1" s="1"/>
  <c r="N381" i="1"/>
  <c r="P381" i="1" s="1"/>
  <c r="N382" i="1"/>
  <c r="P382" i="1" s="1"/>
  <c r="N383" i="1"/>
  <c r="P383" i="1" s="1"/>
  <c r="N384" i="1"/>
  <c r="P384" i="1" s="1"/>
  <c r="N385" i="1"/>
  <c r="P385" i="1" s="1"/>
  <c r="N386" i="1"/>
  <c r="P386" i="1" s="1"/>
  <c r="N387" i="1"/>
  <c r="P387" i="1" s="1"/>
  <c r="N388" i="1"/>
  <c r="P388" i="1" s="1"/>
  <c r="N389" i="1"/>
  <c r="P389" i="1" s="1"/>
  <c r="N390" i="1"/>
  <c r="P390" i="1" s="1"/>
  <c r="N391" i="1"/>
  <c r="P391" i="1" s="1"/>
  <c r="N392" i="1"/>
  <c r="P392" i="1" s="1"/>
  <c r="N393" i="1"/>
  <c r="P393" i="1" s="1"/>
  <c r="N394" i="1"/>
  <c r="P394" i="1" s="1"/>
  <c r="N395" i="1"/>
  <c r="P395" i="1" s="1"/>
  <c r="N396" i="1"/>
  <c r="P396" i="1" s="1"/>
  <c r="N397" i="1"/>
  <c r="P397" i="1" s="1"/>
  <c r="N398" i="1"/>
  <c r="P398" i="1" s="1"/>
  <c r="N399" i="1"/>
  <c r="P399" i="1" s="1"/>
  <c r="N400" i="1"/>
  <c r="P400" i="1" s="1"/>
  <c r="N401" i="1"/>
  <c r="P401" i="1" s="1"/>
  <c r="N402" i="1"/>
  <c r="P402" i="1" s="1"/>
  <c r="N403" i="1"/>
  <c r="P403" i="1" s="1"/>
  <c r="N404" i="1"/>
  <c r="P404" i="1" s="1"/>
  <c r="N405" i="1"/>
  <c r="P405" i="1" s="1"/>
  <c r="N406" i="1"/>
  <c r="P406" i="1" s="1"/>
  <c r="N407" i="1"/>
  <c r="P407" i="1" s="1"/>
  <c r="N408" i="1"/>
  <c r="P408" i="1" s="1"/>
  <c r="N409" i="1"/>
  <c r="P409" i="1" s="1"/>
  <c r="N410" i="1"/>
  <c r="P410" i="1" s="1"/>
  <c r="N411" i="1"/>
  <c r="P411" i="1" s="1"/>
  <c r="N412" i="1"/>
  <c r="P412" i="1" s="1"/>
  <c r="N413" i="1"/>
  <c r="P413" i="1" s="1"/>
  <c r="N414" i="1"/>
  <c r="P414" i="1" s="1"/>
  <c r="N415" i="1"/>
  <c r="P415" i="1" s="1"/>
  <c r="N416" i="1"/>
  <c r="P416" i="1" s="1"/>
  <c r="N417" i="1"/>
  <c r="P417" i="1" s="1"/>
  <c r="N418" i="1"/>
  <c r="P418" i="1" s="1"/>
  <c r="N419" i="1"/>
  <c r="P419" i="1" s="1"/>
  <c r="N420" i="1"/>
  <c r="P420" i="1" s="1"/>
  <c r="N421" i="1"/>
  <c r="P421" i="1" s="1"/>
  <c r="N422" i="1"/>
  <c r="P422" i="1" s="1"/>
  <c r="N423" i="1"/>
  <c r="P423" i="1" s="1"/>
  <c r="N424" i="1"/>
  <c r="P424" i="1" s="1"/>
  <c r="N425" i="1"/>
  <c r="P425" i="1" s="1"/>
  <c r="N426" i="1"/>
  <c r="P426" i="1" s="1"/>
  <c r="N427" i="1"/>
  <c r="P427" i="1" s="1"/>
  <c r="N428" i="1"/>
  <c r="P428" i="1" s="1"/>
  <c r="N429" i="1"/>
  <c r="P429" i="1" s="1"/>
  <c r="N430" i="1"/>
  <c r="P430" i="1" s="1"/>
  <c r="N431" i="1"/>
  <c r="P431" i="1" s="1"/>
  <c r="N432" i="1"/>
  <c r="P432" i="1" s="1"/>
  <c r="N433" i="1"/>
  <c r="P433" i="1" s="1"/>
  <c r="N434" i="1"/>
  <c r="P434" i="1" s="1"/>
  <c r="N435" i="1"/>
  <c r="P435" i="1" s="1"/>
  <c r="N436" i="1"/>
  <c r="P436" i="1" s="1"/>
  <c r="N437" i="1"/>
  <c r="P437" i="1" s="1"/>
  <c r="N438" i="1"/>
  <c r="P438" i="1" s="1"/>
  <c r="N439" i="1"/>
  <c r="P439" i="1" s="1"/>
  <c r="N440" i="1"/>
  <c r="P440" i="1" s="1"/>
  <c r="N441" i="1"/>
  <c r="P441" i="1" s="1"/>
  <c r="N442" i="1"/>
  <c r="P442" i="1" s="1"/>
  <c r="N443" i="1"/>
  <c r="P443" i="1" s="1"/>
  <c r="N444" i="1"/>
  <c r="P444" i="1" s="1"/>
  <c r="N445" i="1"/>
  <c r="P445" i="1" s="1"/>
  <c r="N446" i="1"/>
  <c r="P446" i="1" s="1"/>
  <c r="N447" i="1"/>
  <c r="P447" i="1" s="1"/>
  <c r="N448" i="1"/>
  <c r="P448" i="1" s="1"/>
  <c r="N449" i="1"/>
  <c r="P449" i="1" s="1"/>
  <c r="N450" i="1"/>
  <c r="P450" i="1" s="1"/>
  <c r="N451" i="1"/>
  <c r="P451" i="1" s="1"/>
  <c r="N452" i="1"/>
  <c r="P452" i="1" s="1"/>
  <c r="N453" i="1"/>
  <c r="P453" i="1" s="1"/>
  <c r="N454" i="1"/>
  <c r="P454" i="1" s="1"/>
  <c r="N455" i="1"/>
  <c r="P455" i="1" s="1"/>
  <c r="N456" i="1"/>
  <c r="P456" i="1" s="1"/>
  <c r="N457" i="1"/>
  <c r="P457" i="1" s="1"/>
  <c r="N458" i="1"/>
  <c r="P458" i="1" s="1"/>
  <c r="N459" i="1"/>
  <c r="P459" i="1" s="1"/>
  <c r="N460" i="1"/>
  <c r="P460" i="1" s="1"/>
  <c r="N461" i="1"/>
  <c r="P461" i="1" s="1"/>
  <c r="N462" i="1"/>
  <c r="P462" i="1" s="1"/>
  <c r="N463" i="1"/>
  <c r="P463" i="1" s="1"/>
  <c r="N464" i="1"/>
  <c r="P464" i="1" s="1"/>
  <c r="N465" i="1"/>
  <c r="P465" i="1" s="1"/>
  <c r="N466" i="1"/>
  <c r="P466" i="1" s="1"/>
  <c r="N467" i="1"/>
  <c r="P467" i="1" s="1"/>
  <c r="N468" i="1"/>
  <c r="P468" i="1" s="1"/>
  <c r="N469" i="1"/>
  <c r="P469" i="1" s="1"/>
  <c r="N470" i="1"/>
  <c r="P470" i="1" s="1"/>
  <c r="N471" i="1"/>
  <c r="P471" i="1" s="1"/>
  <c r="N472" i="1"/>
  <c r="P472" i="1" s="1"/>
  <c r="N473" i="1"/>
  <c r="P473" i="1" s="1"/>
  <c r="N474" i="1"/>
  <c r="P474" i="1" s="1"/>
  <c r="N475" i="1"/>
  <c r="P475" i="1" s="1"/>
  <c r="N476" i="1"/>
  <c r="P476" i="1" s="1"/>
  <c r="N477" i="1"/>
  <c r="P477" i="1" s="1"/>
  <c r="N478" i="1"/>
  <c r="P478" i="1" s="1"/>
  <c r="N479" i="1"/>
  <c r="P479" i="1" s="1"/>
  <c r="N480" i="1"/>
  <c r="P480" i="1" s="1"/>
  <c r="N481" i="1"/>
  <c r="P481" i="1" s="1"/>
  <c r="N482" i="1"/>
  <c r="P482" i="1" s="1"/>
  <c r="N483" i="1"/>
  <c r="P483" i="1" s="1"/>
  <c r="N484" i="1"/>
  <c r="P484" i="1" s="1"/>
  <c r="N485" i="1"/>
  <c r="P485" i="1" s="1"/>
  <c r="N486" i="1"/>
  <c r="P486" i="1" s="1"/>
  <c r="N487" i="1"/>
  <c r="P487" i="1" s="1"/>
  <c r="N488" i="1"/>
  <c r="P488" i="1" s="1"/>
  <c r="N489" i="1"/>
  <c r="P489" i="1" s="1"/>
  <c r="N490" i="1"/>
  <c r="P490" i="1" s="1"/>
  <c r="N491" i="1"/>
  <c r="P491" i="1" s="1"/>
  <c r="N492" i="1"/>
  <c r="P492" i="1" s="1"/>
  <c r="N493" i="1"/>
  <c r="P493" i="1" s="1"/>
  <c r="N494" i="1"/>
  <c r="P494" i="1" s="1"/>
  <c r="N495" i="1"/>
  <c r="P495" i="1" s="1"/>
  <c r="N496" i="1"/>
  <c r="P496" i="1" s="1"/>
  <c r="N497" i="1"/>
  <c r="P497" i="1" s="1"/>
  <c r="N498" i="1"/>
  <c r="P498" i="1" s="1"/>
  <c r="N499" i="1"/>
  <c r="P499" i="1" s="1"/>
  <c r="N500" i="1"/>
  <c r="P500" i="1" s="1"/>
  <c r="N501" i="1"/>
  <c r="P501" i="1" s="1"/>
  <c r="N502" i="1"/>
  <c r="P502" i="1" s="1"/>
  <c r="N503" i="1"/>
  <c r="P503" i="1" s="1"/>
  <c r="N504" i="1"/>
  <c r="P504" i="1" s="1"/>
  <c r="N505" i="1"/>
  <c r="P505" i="1" s="1"/>
  <c r="N506" i="1"/>
  <c r="P506" i="1" s="1"/>
  <c r="N507" i="1"/>
  <c r="P507" i="1" s="1"/>
  <c r="N508" i="1"/>
  <c r="P508" i="1" s="1"/>
  <c r="N509" i="1"/>
  <c r="P509" i="1" s="1"/>
  <c r="N510" i="1"/>
  <c r="P510" i="1" s="1"/>
  <c r="N511" i="1"/>
  <c r="P511" i="1" s="1"/>
  <c r="N512" i="1"/>
  <c r="P512" i="1" s="1"/>
  <c r="N513" i="1"/>
  <c r="P513" i="1" s="1"/>
  <c r="N514" i="1"/>
  <c r="P514" i="1" s="1"/>
  <c r="N515" i="1"/>
  <c r="P515" i="1" s="1"/>
  <c r="N516" i="1"/>
  <c r="P516" i="1" s="1"/>
  <c r="N517" i="1"/>
  <c r="P517" i="1" s="1"/>
  <c r="N518" i="1"/>
  <c r="P518" i="1" s="1"/>
  <c r="N519" i="1"/>
  <c r="P519" i="1" s="1"/>
  <c r="N520" i="1"/>
  <c r="P520" i="1" s="1"/>
  <c r="N521" i="1"/>
  <c r="P521" i="1" s="1"/>
  <c r="N522" i="1"/>
  <c r="P522" i="1" s="1"/>
  <c r="N523" i="1"/>
  <c r="P523" i="1" s="1"/>
  <c r="N524" i="1"/>
  <c r="P524" i="1" s="1"/>
  <c r="N525" i="1"/>
  <c r="P525" i="1" s="1"/>
  <c r="N526" i="1"/>
  <c r="P526" i="1" s="1"/>
  <c r="N527" i="1"/>
  <c r="P527" i="1" s="1"/>
  <c r="N528" i="1"/>
  <c r="P528" i="1" s="1"/>
  <c r="N529" i="1"/>
  <c r="P529" i="1" s="1"/>
  <c r="N530" i="1"/>
  <c r="P530" i="1" s="1"/>
  <c r="N531" i="1"/>
  <c r="P531" i="1" s="1"/>
  <c r="N532" i="1"/>
  <c r="P532" i="1" s="1"/>
  <c r="N533" i="1"/>
  <c r="P533" i="1" s="1"/>
  <c r="N534" i="1"/>
  <c r="P534" i="1" s="1"/>
  <c r="N535" i="1"/>
  <c r="P535" i="1" s="1"/>
  <c r="N536" i="1"/>
  <c r="P536" i="1" s="1"/>
  <c r="N537" i="1"/>
  <c r="P537" i="1" s="1"/>
  <c r="N538" i="1"/>
  <c r="P538" i="1" s="1"/>
  <c r="N539" i="1"/>
  <c r="P539" i="1" s="1"/>
  <c r="N540" i="1"/>
  <c r="P540" i="1" s="1"/>
  <c r="N541" i="1"/>
  <c r="P541" i="1" s="1"/>
  <c r="N542" i="1"/>
  <c r="P542" i="1" s="1"/>
  <c r="N543" i="1"/>
  <c r="P543" i="1" s="1"/>
  <c r="N544" i="1"/>
  <c r="P544" i="1" s="1"/>
  <c r="N545" i="1"/>
  <c r="P545" i="1" s="1"/>
  <c r="N546" i="1"/>
  <c r="P546" i="1" s="1"/>
  <c r="N547" i="1"/>
  <c r="P547" i="1" s="1"/>
  <c r="N548" i="1"/>
  <c r="P548" i="1" s="1"/>
  <c r="N549" i="1"/>
  <c r="P549" i="1" s="1"/>
  <c r="N550" i="1"/>
  <c r="P550" i="1" s="1"/>
  <c r="N551" i="1"/>
  <c r="P551" i="1" s="1"/>
  <c r="N552" i="1"/>
  <c r="P552" i="1" s="1"/>
  <c r="N553" i="1"/>
  <c r="P553" i="1" s="1"/>
  <c r="N554" i="1"/>
  <c r="P554" i="1" s="1"/>
  <c r="N555" i="1"/>
  <c r="P555" i="1" s="1"/>
  <c r="N556" i="1"/>
  <c r="P556" i="1" s="1"/>
  <c r="N557" i="1"/>
  <c r="P557" i="1" s="1"/>
  <c r="N558" i="1"/>
  <c r="P558" i="1" s="1"/>
  <c r="N559" i="1"/>
  <c r="P559" i="1" s="1"/>
  <c r="N560" i="1"/>
  <c r="P560" i="1" s="1"/>
  <c r="N561" i="1"/>
  <c r="P561" i="1" s="1"/>
  <c r="N562" i="1"/>
  <c r="P562" i="1" s="1"/>
  <c r="N563" i="1"/>
  <c r="P563" i="1" s="1"/>
  <c r="N564" i="1"/>
  <c r="P564" i="1" s="1"/>
  <c r="N565" i="1"/>
  <c r="P565" i="1" s="1"/>
  <c r="N566" i="1"/>
  <c r="P566" i="1" s="1"/>
  <c r="N567" i="1"/>
  <c r="P567" i="1" s="1"/>
  <c r="N568" i="1"/>
  <c r="P568" i="1" s="1"/>
  <c r="N569" i="1"/>
  <c r="P569" i="1" s="1"/>
  <c r="N570" i="1"/>
  <c r="P570" i="1" s="1"/>
  <c r="N571" i="1"/>
  <c r="P571" i="1" s="1"/>
  <c r="N572" i="1"/>
  <c r="P572" i="1" s="1"/>
  <c r="N573" i="1"/>
  <c r="P573" i="1" s="1"/>
  <c r="N574" i="1"/>
  <c r="P574" i="1" s="1"/>
  <c r="N575" i="1"/>
  <c r="P575" i="1" s="1"/>
  <c r="N576" i="1"/>
  <c r="P576" i="1" s="1"/>
  <c r="N577" i="1"/>
  <c r="P577" i="1" s="1"/>
  <c r="N578" i="1"/>
  <c r="P578" i="1" s="1"/>
  <c r="N579" i="1"/>
  <c r="P579" i="1" s="1"/>
  <c r="N580" i="1"/>
  <c r="P580" i="1" s="1"/>
  <c r="N581" i="1"/>
  <c r="P581" i="1" s="1"/>
  <c r="N582" i="1"/>
  <c r="P582" i="1" s="1"/>
  <c r="N583" i="1"/>
  <c r="P583" i="1" s="1"/>
  <c r="N584" i="1"/>
  <c r="P584" i="1" s="1"/>
  <c r="N585" i="1"/>
  <c r="P585" i="1" s="1"/>
  <c r="N586" i="1"/>
  <c r="P586" i="1" s="1"/>
  <c r="N587" i="1"/>
  <c r="P587" i="1" s="1"/>
  <c r="N588" i="1"/>
  <c r="P588" i="1" s="1"/>
  <c r="N589" i="1"/>
  <c r="P589" i="1" s="1"/>
  <c r="N590" i="1"/>
  <c r="P590" i="1" s="1"/>
  <c r="N591" i="1"/>
  <c r="P591" i="1" s="1"/>
  <c r="N592" i="1"/>
  <c r="P592" i="1" s="1"/>
  <c r="N593" i="1"/>
  <c r="P593" i="1" s="1"/>
  <c r="N594" i="1"/>
  <c r="P594" i="1" s="1"/>
  <c r="N595" i="1"/>
  <c r="P595" i="1" s="1"/>
  <c r="N596" i="1"/>
  <c r="P596" i="1" s="1"/>
  <c r="N597" i="1"/>
  <c r="P597" i="1" s="1"/>
  <c r="N598" i="1"/>
  <c r="P598" i="1" s="1"/>
  <c r="N599" i="1"/>
  <c r="P599" i="1" s="1"/>
  <c r="N600" i="1"/>
  <c r="P600" i="1" s="1"/>
  <c r="N601" i="1"/>
  <c r="P601" i="1" s="1"/>
  <c r="N602" i="1"/>
  <c r="P602" i="1" s="1"/>
  <c r="N603" i="1"/>
  <c r="P603" i="1" s="1"/>
  <c r="N604" i="1"/>
  <c r="P604" i="1" s="1"/>
  <c r="N605" i="1"/>
  <c r="P605" i="1" s="1"/>
  <c r="N606" i="1"/>
  <c r="P606" i="1" s="1"/>
  <c r="N607" i="1"/>
  <c r="P607" i="1" s="1"/>
  <c r="N608" i="1"/>
  <c r="P608" i="1" s="1"/>
  <c r="N609" i="1"/>
  <c r="P609" i="1" s="1"/>
  <c r="N610" i="1"/>
  <c r="P610" i="1" s="1"/>
  <c r="N611" i="1"/>
  <c r="P611" i="1" s="1"/>
  <c r="N612" i="1"/>
  <c r="P612" i="1" s="1"/>
  <c r="N613" i="1"/>
  <c r="P613" i="1" s="1"/>
  <c r="N614" i="1"/>
  <c r="P614" i="1" s="1"/>
  <c r="N615" i="1"/>
  <c r="P615" i="1" s="1"/>
  <c r="N616" i="1"/>
  <c r="P616" i="1" s="1"/>
  <c r="N617" i="1"/>
  <c r="P617" i="1" s="1"/>
  <c r="N618" i="1"/>
  <c r="P618" i="1" s="1"/>
  <c r="N619" i="1"/>
  <c r="P619" i="1" s="1"/>
  <c r="N620" i="1"/>
  <c r="P620" i="1" s="1"/>
  <c r="N621" i="1"/>
  <c r="P621" i="1" s="1"/>
  <c r="N622" i="1"/>
  <c r="P622" i="1" s="1"/>
  <c r="N623" i="1"/>
  <c r="P623" i="1" s="1"/>
  <c r="N624" i="1"/>
  <c r="P624" i="1" s="1"/>
  <c r="N625" i="1"/>
  <c r="P625" i="1" s="1"/>
  <c r="N626" i="1"/>
  <c r="P626" i="1" s="1"/>
  <c r="N627" i="1"/>
  <c r="P627" i="1" s="1"/>
  <c r="N628" i="1"/>
  <c r="P628" i="1" s="1"/>
  <c r="N629" i="1"/>
  <c r="P629" i="1" s="1"/>
  <c r="N630" i="1"/>
  <c r="P630" i="1" s="1"/>
  <c r="N631" i="1"/>
  <c r="P631" i="1" s="1"/>
  <c r="N632" i="1"/>
  <c r="P632" i="1" s="1"/>
  <c r="N633" i="1"/>
  <c r="P633" i="1" s="1"/>
  <c r="N634" i="1"/>
  <c r="P634" i="1" s="1"/>
  <c r="N635" i="1"/>
  <c r="P635" i="1" s="1"/>
  <c r="N636" i="1"/>
  <c r="P636" i="1" s="1"/>
  <c r="N637" i="1"/>
  <c r="P637" i="1" s="1"/>
  <c r="N638" i="1"/>
  <c r="P638" i="1" s="1"/>
  <c r="N639" i="1"/>
  <c r="P639" i="1" s="1"/>
  <c r="N640" i="1"/>
  <c r="P640" i="1" s="1"/>
  <c r="N641" i="1"/>
  <c r="P641" i="1" s="1"/>
  <c r="N642" i="1"/>
  <c r="P642" i="1" s="1"/>
  <c r="N643" i="1"/>
  <c r="P643" i="1" s="1"/>
  <c r="N644" i="1"/>
  <c r="P644" i="1" s="1"/>
  <c r="N645" i="1"/>
  <c r="P645" i="1" s="1"/>
  <c r="N646" i="1"/>
  <c r="P646" i="1" s="1"/>
  <c r="N647" i="1"/>
  <c r="P647" i="1" s="1"/>
  <c r="N648" i="1"/>
  <c r="P648" i="1" s="1"/>
  <c r="N649" i="1"/>
  <c r="P649" i="1" s="1"/>
  <c r="N650" i="1"/>
  <c r="P650" i="1" s="1"/>
  <c r="N651" i="1"/>
  <c r="P651" i="1" s="1"/>
  <c r="N652" i="1"/>
  <c r="P652" i="1" s="1"/>
  <c r="N653" i="1"/>
  <c r="P653" i="1" s="1"/>
  <c r="N654" i="1"/>
  <c r="P654" i="1" s="1"/>
  <c r="N655" i="1"/>
  <c r="P655" i="1" s="1"/>
  <c r="N656" i="1"/>
  <c r="P656" i="1" s="1"/>
  <c r="N657" i="1"/>
  <c r="P657" i="1" s="1"/>
  <c r="N658" i="1"/>
  <c r="P658" i="1" s="1"/>
  <c r="N659" i="1"/>
  <c r="P659" i="1" s="1"/>
  <c r="N660" i="1"/>
  <c r="P660" i="1" s="1"/>
  <c r="N661" i="1"/>
  <c r="P661" i="1" s="1"/>
  <c r="N662" i="1"/>
  <c r="P662" i="1" s="1"/>
  <c r="N663" i="1"/>
  <c r="P663" i="1" s="1"/>
  <c r="N664" i="1"/>
  <c r="P664" i="1" s="1"/>
  <c r="N665" i="1"/>
  <c r="P665" i="1" s="1"/>
  <c r="N666" i="1"/>
  <c r="P666" i="1" s="1"/>
  <c r="N667" i="1"/>
  <c r="P667" i="1" s="1"/>
  <c r="N668" i="1"/>
  <c r="P668" i="1" s="1"/>
  <c r="N669" i="1"/>
  <c r="P669" i="1" s="1"/>
  <c r="N670" i="1"/>
  <c r="P670" i="1" s="1"/>
  <c r="N671" i="1"/>
  <c r="P671" i="1" s="1"/>
  <c r="N672" i="1"/>
  <c r="P672" i="1" s="1"/>
  <c r="N673" i="1"/>
  <c r="P673" i="1" s="1"/>
  <c r="N674" i="1"/>
  <c r="P674" i="1" s="1"/>
  <c r="N675" i="1"/>
  <c r="P675" i="1" s="1"/>
  <c r="N676" i="1"/>
  <c r="P676" i="1" s="1"/>
  <c r="N677" i="1"/>
  <c r="P677" i="1" s="1"/>
  <c r="N678" i="1"/>
  <c r="P678" i="1" s="1"/>
  <c r="N679" i="1"/>
  <c r="P679" i="1" s="1"/>
  <c r="N680" i="1"/>
  <c r="P680" i="1" s="1"/>
  <c r="N681" i="1"/>
  <c r="P681" i="1" s="1"/>
  <c r="N682" i="1"/>
  <c r="P682" i="1" s="1"/>
  <c r="N683" i="1"/>
  <c r="P683" i="1" s="1"/>
  <c r="N684" i="1"/>
  <c r="P684" i="1" s="1"/>
  <c r="N685" i="1"/>
  <c r="P685" i="1" s="1"/>
  <c r="N686" i="1"/>
  <c r="P686" i="1" s="1"/>
  <c r="N687" i="1"/>
  <c r="P687" i="1" s="1"/>
  <c r="N688" i="1"/>
  <c r="P688" i="1" s="1"/>
  <c r="N689" i="1"/>
  <c r="P689" i="1" s="1"/>
  <c r="N690" i="1"/>
  <c r="P690" i="1" s="1"/>
  <c r="N691" i="1"/>
  <c r="P691" i="1" s="1"/>
  <c r="N692" i="1"/>
  <c r="P692" i="1" s="1"/>
  <c r="N693" i="1"/>
  <c r="P693" i="1" s="1"/>
  <c r="N694" i="1"/>
  <c r="P694" i="1" s="1"/>
  <c r="N695" i="1"/>
  <c r="P695" i="1" s="1"/>
  <c r="N696" i="1"/>
  <c r="P696" i="1" s="1"/>
  <c r="N697" i="1"/>
  <c r="P697" i="1" s="1"/>
  <c r="N698" i="1"/>
  <c r="P698" i="1" s="1"/>
  <c r="N699" i="1"/>
  <c r="P699" i="1" s="1"/>
  <c r="N700" i="1"/>
  <c r="P700" i="1" s="1"/>
  <c r="N701" i="1"/>
  <c r="P701" i="1" s="1"/>
  <c r="N702" i="1"/>
  <c r="P702" i="1" s="1"/>
  <c r="N703" i="1"/>
  <c r="P703" i="1" s="1"/>
  <c r="N704" i="1"/>
  <c r="P704" i="1" s="1"/>
  <c r="N705" i="1"/>
  <c r="P705" i="1" s="1"/>
  <c r="N706" i="1"/>
  <c r="P706" i="1" s="1"/>
  <c r="N707" i="1"/>
  <c r="P707" i="1" s="1"/>
  <c r="N708" i="1"/>
  <c r="P708" i="1" s="1"/>
  <c r="N709" i="1"/>
  <c r="P709" i="1" s="1"/>
  <c r="N710" i="1"/>
  <c r="P710" i="1" s="1"/>
  <c r="N711" i="1"/>
  <c r="P711" i="1" s="1"/>
  <c r="N712" i="1"/>
  <c r="P712" i="1" s="1"/>
  <c r="N713" i="1"/>
  <c r="P713" i="1" s="1"/>
  <c r="N714" i="1"/>
  <c r="P714" i="1" s="1"/>
  <c r="N715" i="1"/>
  <c r="P715" i="1" s="1"/>
  <c r="N716" i="1"/>
  <c r="P716" i="1" s="1"/>
  <c r="N717" i="1"/>
  <c r="P717" i="1" s="1"/>
  <c r="N718" i="1"/>
  <c r="P718" i="1" s="1"/>
  <c r="N719" i="1"/>
  <c r="P719" i="1" s="1"/>
  <c r="N720" i="1"/>
  <c r="P720" i="1" s="1"/>
  <c r="N721" i="1"/>
  <c r="P721" i="1" s="1"/>
  <c r="N722" i="1"/>
  <c r="P722" i="1" s="1"/>
  <c r="N723" i="1"/>
  <c r="P723" i="1" s="1"/>
  <c r="N724" i="1"/>
  <c r="P724" i="1" s="1"/>
  <c r="N725" i="1"/>
  <c r="P725" i="1" s="1"/>
  <c r="N726" i="1"/>
  <c r="P726" i="1" s="1"/>
  <c r="N727" i="1"/>
  <c r="P727" i="1" s="1"/>
  <c r="N728" i="1"/>
  <c r="P728" i="1" s="1"/>
  <c r="N729" i="1"/>
  <c r="P729" i="1" s="1"/>
  <c r="N730" i="1"/>
  <c r="P730" i="1" s="1"/>
  <c r="N731" i="1"/>
  <c r="P731" i="1" s="1"/>
  <c r="N732" i="1"/>
  <c r="P732" i="1" s="1"/>
  <c r="N733" i="1"/>
  <c r="P733" i="1" s="1"/>
  <c r="N734" i="1"/>
  <c r="P734" i="1" s="1"/>
  <c r="N735" i="1"/>
  <c r="P735" i="1" s="1"/>
  <c r="N736" i="1"/>
  <c r="P736" i="1" s="1"/>
  <c r="N737" i="1"/>
  <c r="P737" i="1" s="1"/>
  <c r="N738" i="1"/>
  <c r="P738" i="1" s="1"/>
  <c r="N739" i="1"/>
  <c r="P739" i="1" s="1"/>
  <c r="N740" i="1"/>
  <c r="P740" i="1" s="1"/>
  <c r="N741" i="1"/>
  <c r="P741" i="1" s="1"/>
  <c r="N742" i="1"/>
  <c r="P742" i="1" s="1"/>
  <c r="N743" i="1"/>
  <c r="P743" i="1" s="1"/>
  <c r="N744" i="1"/>
  <c r="P744" i="1" s="1"/>
  <c r="N745" i="1"/>
  <c r="P745" i="1" s="1"/>
  <c r="N746" i="1"/>
  <c r="P746" i="1" s="1"/>
  <c r="N747" i="1"/>
  <c r="P747" i="1" s="1"/>
  <c r="N748" i="1"/>
  <c r="P748" i="1" s="1"/>
  <c r="N749" i="1"/>
  <c r="P749" i="1" s="1"/>
  <c r="N750" i="1"/>
  <c r="P750" i="1" s="1"/>
  <c r="N751" i="1"/>
  <c r="P751" i="1" s="1"/>
  <c r="N752" i="1"/>
  <c r="P752" i="1" s="1"/>
  <c r="N753" i="1"/>
  <c r="P753" i="1" s="1"/>
  <c r="N754" i="1"/>
  <c r="P754" i="1" s="1"/>
  <c r="N755" i="1"/>
  <c r="P755" i="1" s="1"/>
  <c r="N756" i="1"/>
  <c r="P756" i="1" s="1"/>
  <c r="N757" i="1"/>
  <c r="P757" i="1" s="1"/>
  <c r="N758" i="1"/>
  <c r="P758" i="1" s="1"/>
  <c r="N759" i="1"/>
  <c r="P759" i="1" s="1"/>
  <c r="N760" i="1"/>
  <c r="P760" i="1" s="1"/>
  <c r="N761" i="1"/>
  <c r="P761" i="1" s="1"/>
  <c r="N762" i="1"/>
  <c r="P762" i="1" s="1"/>
  <c r="N763" i="1"/>
  <c r="P763" i="1" s="1"/>
  <c r="N764" i="1"/>
  <c r="P764" i="1" s="1"/>
  <c r="N765" i="1"/>
  <c r="P765" i="1" s="1"/>
  <c r="N766" i="1"/>
  <c r="P766" i="1" s="1"/>
  <c r="N767" i="1"/>
  <c r="P767" i="1" s="1"/>
  <c r="N768" i="1"/>
  <c r="P768" i="1" s="1"/>
  <c r="N769" i="1"/>
  <c r="P769" i="1" s="1"/>
  <c r="N770" i="1"/>
  <c r="P770" i="1" s="1"/>
  <c r="N771" i="1"/>
  <c r="P771" i="1" s="1"/>
  <c r="N772" i="1"/>
  <c r="P772" i="1" s="1"/>
  <c r="N773" i="1"/>
  <c r="P773" i="1" s="1"/>
  <c r="N774" i="1"/>
  <c r="P774" i="1" s="1"/>
  <c r="N775" i="1"/>
  <c r="P775" i="1" s="1"/>
  <c r="N776" i="1"/>
  <c r="P776" i="1" s="1"/>
  <c r="N777" i="1"/>
  <c r="P777" i="1" s="1"/>
  <c r="N778" i="1"/>
  <c r="P778" i="1" s="1"/>
  <c r="N779" i="1"/>
  <c r="P779" i="1" s="1"/>
  <c r="N780" i="1"/>
  <c r="P780" i="1" s="1"/>
  <c r="N781" i="1"/>
  <c r="P781" i="1" s="1"/>
  <c r="N782" i="1"/>
  <c r="P782" i="1" s="1"/>
  <c r="N783" i="1"/>
  <c r="P783" i="1" s="1"/>
  <c r="N784" i="1"/>
  <c r="P784" i="1" s="1"/>
  <c r="N785" i="1"/>
  <c r="P785" i="1" s="1"/>
  <c r="N786" i="1"/>
  <c r="P786" i="1" s="1"/>
  <c r="N787" i="1"/>
  <c r="P787" i="1" s="1"/>
  <c r="N788" i="1"/>
  <c r="P788" i="1" s="1"/>
  <c r="N789" i="1"/>
  <c r="P789" i="1" s="1"/>
  <c r="N790" i="1"/>
  <c r="P790" i="1" s="1"/>
  <c r="N791" i="1"/>
  <c r="P791" i="1" s="1"/>
  <c r="N792" i="1"/>
  <c r="P792" i="1" s="1"/>
  <c r="N793" i="1"/>
  <c r="P793" i="1" s="1"/>
  <c r="N794" i="1"/>
  <c r="P794" i="1" s="1"/>
  <c r="N795" i="1"/>
  <c r="P795" i="1" s="1"/>
  <c r="N796" i="1"/>
  <c r="P796" i="1" s="1"/>
  <c r="N797" i="1"/>
  <c r="P797" i="1" s="1"/>
  <c r="N798" i="1"/>
  <c r="P798" i="1" s="1"/>
  <c r="N799" i="1"/>
  <c r="P799" i="1" s="1"/>
  <c r="N800" i="1"/>
  <c r="P800" i="1" s="1"/>
  <c r="N801" i="1"/>
  <c r="P801" i="1" s="1"/>
  <c r="N802" i="1"/>
  <c r="P802" i="1" s="1"/>
  <c r="N803" i="1"/>
  <c r="P803" i="1" s="1"/>
  <c r="N804" i="1"/>
  <c r="P804" i="1" s="1"/>
  <c r="N805" i="1"/>
  <c r="P805" i="1" s="1"/>
  <c r="N806" i="1"/>
  <c r="P806" i="1" s="1"/>
  <c r="N807" i="1"/>
  <c r="P807" i="1" s="1"/>
  <c r="N808" i="1"/>
  <c r="P808" i="1" s="1"/>
  <c r="N809" i="1"/>
  <c r="P809" i="1" s="1"/>
  <c r="N810" i="1"/>
  <c r="P810" i="1" s="1"/>
  <c r="N811" i="1"/>
  <c r="P811" i="1" s="1"/>
  <c r="N812" i="1"/>
  <c r="P812" i="1" s="1"/>
  <c r="N813" i="1"/>
  <c r="P813" i="1" s="1"/>
  <c r="N814" i="1"/>
  <c r="P814" i="1" s="1"/>
  <c r="N815" i="1"/>
  <c r="P815" i="1" s="1"/>
  <c r="N816" i="1"/>
  <c r="P816" i="1" s="1"/>
  <c r="N817" i="1"/>
  <c r="P817" i="1" s="1"/>
  <c r="N818" i="1"/>
  <c r="P818" i="1" s="1"/>
  <c r="N819" i="1"/>
  <c r="P819" i="1" s="1"/>
  <c r="N820" i="1"/>
  <c r="P820" i="1" s="1"/>
  <c r="N821" i="1"/>
  <c r="P821" i="1" s="1"/>
  <c r="N822" i="1"/>
  <c r="P822" i="1" s="1"/>
  <c r="N823" i="1"/>
  <c r="P823" i="1" s="1"/>
  <c r="N824" i="1"/>
  <c r="P824" i="1" s="1"/>
  <c r="N825" i="1"/>
  <c r="P825" i="1" s="1"/>
  <c r="N826" i="1"/>
  <c r="P826" i="1" s="1"/>
  <c r="N827" i="1"/>
  <c r="P827" i="1" s="1"/>
  <c r="N828" i="1"/>
  <c r="P828" i="1" s="1"/>
  <c r="N829" i="1"/>
  <c r="P829" i="1" s="1"/>
  <c r="N830" i="1"/>
  <c r="P830" i="1" s="1"/>
  <c r="N831" i="1"/>
  <c r="P831" i="1" s="1"/>
  <c r="N832" i="1"/>
  <c r="P832" i="1" s="1"/>
  <c r="N833" i="1"/>
  <c r="P833" i="1" s="1"/>
  <c r="N834" i="1"/>
  <c r="P834" i="1" s="1"/>
  <c r="N835" i="1"/>
  <c r="P835" i="1" s="1"/>
  <c r="N836" i="1"/>
  <c r="P836" i="1" s="1"/>
  <c r="N837" i="1"/>
  <c r="P837" i="1" s="1"/>
  <c r="N838" i="1"/>
  <c r="P838" i="1" s="1"/>
  <c r="N839" i="1"/>
  <c r="P839" i="1" s="1"/>
  <c r="N840" i="1"/>
  <c r="P840" i="1" s="1"/>
  <c r="N841" i="1"/>
  <c r="P841" i="1" s="1"/>
  <c r="N842" i="1"/>
  <c r="P842" i="1" s="1"/>
  <c r="N843" i="1"/>
  <c r="P843" i="1" s="1"/>
  <c r="N844" i="1"/>
  <c r="P844" i="1" s="1"/>
  <c r="N845" i="1"/>
  <c r="P845" i="1" s="1"/>
  <c r="N846" i="1"/>
  <c r="P846" i="1" s="1"/>
  <c r="N847" i="1"/>
  <c r="P847" i="1" s="1"/>
  <c r="N848" i="1"/>
  <c r="P848" i="1" s="1"/>
  <c r="N849" i="1"/>
  <c r="P849" i="1" s="1"/>
  <c r="N850" i="1"/>
  <c r="P850" i="1" s="1"/>
  <c r="N851" i="1"/>
  <c r="P851" i="1" s="1"/>
  <c r="N852" i="1"/>
  <c r="P852" i="1" s="1"/>
  <c r="N853" i="1"/>
  <c r="P853" i="1" s="1"/>
  <c r="N854" i="1"/>
  <c r="P854" i="1" s="1"/>
  <c r="N855" i="1"/>
  <c r="P855" i="1" s="1"/>
  <c r="N856" i="1"/>
  <c r="P856" i="1" s="1"/>
  <c r="N857" i="1"/>
  <c r="P857" i="1" s="1"/>
  <c r="N858" i="1"/>
  <c r="P858" i="1" s="1"/>
  <c r="N859" i="1"/>
  <c r="P859" i="1" s="1"/>
  <c r="N860" i="1"/>
  <c r="P860" i="1" s="1"/>
  <c r="N861" i="1"/>
  <c r="P861" i="1" s="1"/>
  <c r="N862" i="1"/>
  <c r="P862" i="1" s="1"/>
  <c r="N863" i="1"/>
  <c r="P863" i="1" s="1"/>
  <c r="N864" i="1"/>
  <c r="P864" i="1" s="1"/>
  <c r="N865" i="1"/>
  <c r="P865" i="1" s="1"/>
  <c r="N866" i="1"/>
  <c r="P866" i="1" s="1"/>
  <c r="N867" i="1"/>
  <c r="P867" i="1" s="1"/>
  <c r="N868" i="1"/>
  <c r="P868" i="1" s="1"/>
  <c r="N869" i="1"/>
  <c r="P869" i="1" s="1"/>
  <c r="N870" i="1"/>
  <c r="P870" i="1" s="1"/>
  <c r="N871" i="1"/>
  <c r="P871" i="1" s="1"/>
  <c r="N872" i="1"/>
  <c r="P872" i="1" s="1"/>
  <c r="N873" i="1"/>
  <c r="P873" i="1" s="1"/>
  <c r="N874" i="1"/>
  <c r="P874" i="1" s="1"/>
  <c r="N875" i="1"/>
  <c r="P875" i="1" s="1"/>
  <c r="N876" i="1"/>
  <c r="P876" i="1" s="1"/>
  <c r="N877" i="1"/>
  <c r="P877" i="1" s="1"/>
  <c r="N878" i="1"/>
  <c r="P878" i="1" s="1"/>
  <c r="N879" i="1"/>
  <c r="P879" i="1" s="1"/>
  <c r="N880" i="1"/>
  <c r="P880" i="1" s="1"/>
  <c r="N881" i="1"/>
  <c r="P881" i="1" s="1"/>
  <c r="N882" i="1"/>
  <c r="P882" i="1" s="1"/>
  <c r="N883" i="1"/>
  <c r="P883" i="1" s="1"/>
  <c r="N884" i="1"/>
  <c r="P884" i="1" s="1"/>
  <c r="N885" i="1"/>
  <c r="P885" i="1" s="1"/>
  <c r="N886" i="1"/>
  <c r="P886" i="1" s="1"/>
  <c r="N887" i="1"/>
  <c r="P887" i="1" s="1"/>
  <c r="N888" i="1"/>
  <c r="P888" i="1" s="1"/>
  <c r="N889" i="1"/>
  <c r="P889" i="1" s="1"/>
  <c r="N890" i="1"/>
  <c r="P890" i="1" s="1"/>
  <c r="N891" i="1"/>
  <c r="P891" i="1" s="1"/>
  <c r="N892" i="1"/>
  <c r="P892" i="1" s="1"/>
  <c r="N893" i="1"/>
  <c r="P893" i="1" s="1"/>
  <c r="N894" i="1"/>
  <c r="P894" i="1" s="1"/>
  <c r="N895" i="1"/>
  <c r="P895" i="1" s="1"/>
  <c r="N896" i="1"/>
  <c r="P896" i="1" s="1"/>
  <c r="N897" i="1"/>
  <c r="P897" i="1" s="1"/>
  <c r="N898" i="1"/>
  <c r="P898" i="1" s="1"/>
  <c r="N899" i="1"/>
  <c r="P899" i="1" s="1"/>
  <c r="N900" i="1"/>
  <c r="P900" i="1" s="1"/>
  <c r="N901" i="1"/>
  <c r="P901" i="1" s="1"/>
  <c r="N902" i="1"/>
  <c r="P902" i="1" s="1"/>
  <c r="N903" i="1"/>
  <c r="P903" i="1" s="1"/>
  <c r="N904" i="1"/>
  <c r="P904" i="1" s="1"/>
  <c r="N905" i="1"/>
  <c r="P905" i="1" s="1"/>
  <c r="N906" i="1"/>
  <c r="P906" i="1" s="1"/>
  <c r="N907" i="1"/>
  <c r="P907" i="1" s="1"/>
  <c r="N908" i="1"/>
  <c r="P908" i="1" s="1"/>
  <c r="N909" i="1"/>
  <c r="P909" i="1" s="1"/>
  <c r="N910" i="1"/>
  <c r="P910" i="1" s="1"/>
  <c r="N911" i="1"/>
  <c r="P911" i="1" s="1"/>
  <c r="N912" i="1"/>
  <c r="P912" i="1" s="1"/>
  <c r="N913" i="1"/>
  <c r="P913" i="1" s="1"/>
  <c r="N914" i="1"/>
  <c r="P914" i="1" s="1"/>
  <c r="N915" i="1"/>
  <c r="P915" i="1" s="1"/>
  <c r="N916" i="1"/>
  <c r="P916" i="1" s="1"/>
  <c r="N917" i="1"/>
  <c r="P917" i="1" s="1"/>
  <c r="N918" i="1"/>
  <c r="P918" i="1" s="1"/>
  <c r="N919" i="1"/>
  <c r="P919" i="1" s="1"/>
  <c r="N920" i="1"/>
  <c r="P920" i="1" s="1"/>
  <c r="N921" i="1"/>
  <c r="P921" i="1" s="1"/>
  <c r="N922" i="1"/>
  <c r="P922" i="1" s="1"/>
  <c r="N923" i="1"/>
  <c r="P923" i="1" s="1"/>
  <c r="N924" i="1"/>
  <c r="P924" i="1" s="1"/>
  <c r="N925" i="1"/>
  <c r="P925" i="1" s="1"/>
  <c r="N926" i="1"/>
  <c r="P926" i="1" s="1"/>
  <c r="N927" i="1"/>
  <c r="P927" i="1" s="1"/>
  <c r="N928" i="1"/>
  <c r="P928" i="1" s="1"/>
  <c r="N929" i="1"/>
  <c r="P929" i="1" s="1"/>
  <c r="N930" i="1"/>
  <c r="P930" i="1" s="1"/>
  <c r="N931" i="1"/>
  <c r="P931" i="1" s="1"/>
  <c r="N932" i="1"/>
  <c r="P932" i="1" s="1"/>
  <c r="N933" i="1"/>
  <c r="P933" i="1" s="1"/>
  <c r="N934" i="1"/>
  <c r="P934" i="1" s="1"/>
  <c r="N935" i="1"/>
  <c r="P935" i="1" s="1"/>
  <c r="N936" i="1"/>
  <c r="P936" i="1" s="1"/>
  <c r="N937" i="1"/>
  <c r="P937" i="1" s="1"/>
  <c r="N938" i="1"/>
  <c r="P938" i="1" s="1"/>
  <c r="N939" i="1"/>
  <c r="P939" i="1" s="1"/>
  <c r="N940" i="1"/>
  <c r="P940" i="1" s="1"/>
  <c r="N941" i="1"/>
  <c r="P941" i="1" s="1"/>
  <c r="N942" i="1"/>
  <c r="P942" i="1" s="1"/>
  <c r="N943" i="1"/>
  <c r="P943" i="1" s="1"/>
  <c r="N944" i="1"/>
  <c r="P944" i="1" s="1"/>
  <c r="N945" i="1"/>
  <c r="P945" i="1" s="1"/>
  <c r="N946" i="1"/>
  <c r="P946" i="1" s="1"/>
  <c r="N947" i="1"/>
  <c r="P947" i="1" s="1"/>
  <c r="N948" i="1"/>
  <c r="P948" i="1" s="1"/>
  <c r="N949" i="1"/>
  <c r="P949" i="1" s="1"/>
  <c r="N950" i="1"/>
  <c r="P950" i="1" s="1"/>
  <c r="N951" i="1"/>
  <c r="P951" i="1" s="1"/>
  <c r="N952" i="1"/>
  <c r="P952" i="1" s="1"/>
  <c r="N953" i="1"/>
  <c r="P953" i="1" s="1"/>
  <c r="N954" i="1"/>
  <c r="P954" i="1" s="1"/>
  <c r="N955" i="1"/>
  <c r="P955" i="1" s="1"/>
  <c r="N956" i="1"/>
  <c r="P956" i="1" s="1"/>
  <c r="N957" i="1"/>
  <c r="P957" i="1" s="1"/>
  <c r="N958" i="1"/>
  <c r="P958" i="1" s="1"/>
  <c r="N959" i="1"/>
  <c r="P959" i="1" s="1"/>
  <c r="N960" i="1"/>
  <c r="P960" i="1" s="1"/>
  <c r="N961" i="1"/>
  <c r="P961" i="1" s="1"/>
  <c r="N962" i="1"/>
  <c r="P962" i="1" s="1"/>
  <c r="N963" i="1"/>
  <c r="P963" i="1" s="1"/>
  <c r="N964" i="1"/>
  <c r="P964" i="1" s="1"/>
  <c r="N965" i="1"/>
  <c r="P965" i="1" s="1"/>
  <c r="N966" i="1"/>
  <c r="P966" i="1" s="1"/>
  <c r="N967" i="1"/>
  <c r="P967" i="1" s="1"/>
  <c r="N968" i="1"/>
  <c r="P968" i="1" s="1"/>
  <c r="N969" i="1"/>
  <c r="P969" i="1" s="1"/>
  <c r="N970" i="1"/>
  <c r="P970" i="1" s="1"/>
  <c r="N971" i="1"/>
  <c r="P971" i="1" s="1"/>
  <c r="N972" i="1"/>
  <c r="P972" i="1" s="1"/>
  <c r="N973" i="1"/>
  <c r="P973" i="1" s="1"/>
  <c r="N974" i="1"/>
  <c r="P974" i="1" s="1"/>
  <c r="N975" i="1"/>
  <c r="P975" i="1" s="1"/>
  <c r="N976" i="1"/>
  <c r="P976" i="1" s="1"/>
  <c r="N977" i="1"/>
  <c r="P977" i="1" s="1"/>
  <c r="N978" i="1"/>
  <c r="P978" i="1" s="1"/>
  <c r="N979" i="1"/>
  <c r="P979" i="1" s="1"/>
  <c r="N980" i="1"/>
  <c r="P980" i="1" s="1"/>
  <c r="N981" i="1"/>
  <c r="P981" i="1" s="1"/>
  <c r="N982" i="1"/>
  <c r="P982" i="1" s="1"/>
  <c r="N983" i="1"/>
  <c r="P983" i="1" s="1"/>
  <c r="N984" i="1"/>
  <c r="P984" i="1" s="1"/>
  <c r="N985" i="1"/>
  <c r="P985" i="1" s="1"/>
  <c r="N986" i="1"/>
  <c r="P986" i="1" s="1"/>
  <c r="N987" i="1"/>
  <c r="P987" i="1" s="1"/>
  <c r="N988" i="1"/>
  <c r="P988" i="1" s="1"/>
  <c r="N989" i="1"/>
  <c r="P989" i="1" s="1"/>
  <c r="N990" i="1"/>
  <c r="P990" i="1" s="1"/>
  <c r="N991" i="1"/>
  <c r="P991" i="1" s="1"/>
  <c r="N992" i="1"/>
  <c r="P992" i="1" s="1"/>
  <c r="N993" i="1"/>
  <c r="P993" i="1" s="1"/>
  <c r="N994" i="1"/>
  <c r="P994" i="1" s="1"/>
  <c r="N995" i="1"/>
  <c r="P995" i="1" s="1"/>
  <c r="N996" i="1"/>
  <c r="P996" i="1" s="1"/>
  <c r="N997" i="1"/>
  <c r="P997" i="1" s="1"/>
  <c r="N998" i="1"/>
  <c r="P998" i="1" s="1"/>
  <c r="N999" i="1"/>
  <c r="P999" i="1" s="1"/>
  <c r="N1000" i="1"/>
  <c r="P1000" i="1" s="1"/>
  <c r="N1001" i="1"/>
  <c r="P1001" i="1" s="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K2" i="1"/>
  <c r="O2" i="1" s="1"/>
  <c r="K3" i="1"/>
  <c r="O3" i="1" s="1"/>
  <c r="K4" i="1"/>
  <c r="O4" i="1" s="1"/>
  <c r="K5" i="1"/>
  <c r="O5" i="1" s="1"/>
  <c r="K6" i="1"/>
  <c r="O6" i="1" s="1"/>
  <c r="K7" i="1"/>
  <c r="O7" i="1" s="1"/>
  <c r="K8" i="1"/>
  <c r="O8" i="1" s="1"/>
  <c r="K9" i="1"/>
  <c r="O9" i="1" s="1"/>
  <c r="K10" i="1"/>
  <c r="O10" i="1" s="1"/>
  <c r="K11" i="1"/>
  <c r="O11" i="1" s="1"/>
  <c r="K12" i="1"/>
  <c r="O12" i="1" s="1"/>
  <c r="K13" i="1"/>
  <c r="O13" i="1" s="1"/>
  <c r="K14" i="1"/>
  <c r="O14" i="1" s="1"/>
  <c r="K15" i="1"/>
  <c r="O15" i="1" s="1"/>
  <c r="K16" i="1"/>
  <c r="O16" i="1" s="1"/>
  <c r="K17" i="1"/>
  <c r="O17" i="1" s="1"/>
  <c r="K18" i="1"/>
  <c r="O18" i="1" s="1"/>
  <c r="K19" i="1"/>
  <c r="O19" i="1" s="1"/>
  <c r="K20" i="1"/>
  <c r="O20" i="1" s="1"/>
  <c r="K21" i="1"/>
  <c r="O21" i="1" s="1"/>
  <c r="K22" i="1"/>
  <c r="O22" i="1" s="1"/>
  <c r="K23" i="1"/>
  <c r="O23" i="1" s="1"/>
  <c r="K24" i="1"/>
  <c r="O24" i="1" s="1"/>
  <c r="K25" i="1"/>
  <c r="O25" i="1" s="1"/>
  <c r="K26" i="1"/>
  <c r="O26" i="1" s="1"/>
  <c r="K27" i="1"/>
  <c r="O27" i="1" s="1"/>
  <c r="K28" i="1"/>
  <c r="O28" i="1" s="1"/>
  <c r="K29" i="1"/>
  <c r="O29" i="1" s="1"/>
  <c r="K30" i="1"/>
  <c r="O30" i="1" s="1"/>
  <c r="K31" i="1"/>
  <c r="O31" i="1" s="1"/>
  <c r="K32" i="1"/>
  <c r="O32" i="1" s="1"/>
  <c r="K33" i="1"/>
  <c r="O33" i="1" s="1"/>
  <c r="K34" i="1"/>
  <c r="O34" i="1" s="1"/>
  <c r="K35" i="1"/>
  <c r="O35" i="1" s="1"/>
  <c r="K36" i="1"/>
  <c r="O36" i="1" s="1"/>
  <c r="K37" i="1"/>
  <c r="O37" i="1" s="1"/>
  <c r="K38" i="1"/>
  <c r="O38" i="1" s="1"/>
  <c r="K39" i="1"/>
  <c r="O39" i="1" s="1"/>
  <c r="K40" i="1"/>
  <c r="O40" i="1" s="1"/>
  <c r="K41" i="1"/>
  <c r="O41" i="1" s="1"/>
  <c r="K42" i="1"/>
  <c r="O42" i="1" s="1"/>
  <c r="K43" i="1"/>
  <c r="O43" i="1" s="1"/>
  <c r="K44" i="1"/>
  <c r="O44" i="1" s="1"/>
  <c r="K45" i="1"/>
  <c r="O45" i="1" s="1"/>
  <c r="K46" i="1"/>
  <c r="O46" i="1" s="1"/>
  <c r="K47" i="1"/>
  <c r="O47" i="1" s="1"/>
  <c r="K48" i="1"/>
  <c r="O48" i="1" s="1"/>
  <c r="K49" i="1"/>
  <c r="O49" i="1" s="1"/>
  <c r="K50" i="1"/>
  <c r="O50" i="1" s="1"/>
  <c r="K51" i="1"/>
  <c r="O51" i="1" s="1"/>
  <c r="K52" i="1"/>
  <c r="O52" i="1" s="1"/>
  <c r="K53" i="1"/>
  <c r="O53" i="1" s="1"/>
  <c r="K54" i="1"/>
  <c r="O54" i="1" s="1"/>
  <c r="K55" i="1"/>
  <c r="O55" i="1" s="1"/>
  <c r="K56" i="1"/>
  <c r="O56" i="1" s="1"/>
  <c r="K57" i="1"/>
  <c r="O57" i="1" s="1"/>
  <c r="K58" i="1"/>
  <c r="O58" i="1" s="1"/>
  <c r="K59" i="1"/>
  <c r="O59" i="1" s="1"/>
  <c r="K60" i="1"/>
  <c r="O60" i="1" s="1"/>
  <c r="K61" i="1"/>
  <c r="O61" i="1" s="1"/>
  <c r="K62" i="1"/>
  <c r="O62" i="1" s="1"/>
  <c r="K63" i="1"/>
  <c r="O63" i="1" s="1"/>
  <c r="K64" i="1"/>
  <c r="O64" i="1" s="1"/>
  <c r="K65" i="1"/>
  <c r="O65" i="1" s="1"/>
  <c r="K66" i="1"/>
  <c r="O66" i="1" s="1"/>
  <c r="K67" i="1"/>
  <c r="O67" i="1" s="1"/>
  <c r="K68" i="1"/>
  <c r="O68" i="1" s="1"/>
  <c r="K69" i="1"/>
  <c r="O69" i="1" s="1"/>
  <c r="K70" i="1"/>
  <c r="O70" i="1" s="1"/>
  <c r="K71" i="1"/>
  <c r="O71" i="1" s="1"/>
  <c r="K72" i="1"/>
  <c r="O72" i="1" s="1"/>
  <c r="K73" i="1"/>
  <c r="O73" i="1" s="1"/>
  <c r="K74" i="1"/>
  <c r="O74" i="1" s="1"/>
  <c r="K75" i="1"/>
  <c r="O75" i="1" s="1"/>
  <c r="K76" i="1"/>
  <c r="O76" i="1" s="1"/>
  <c r="K77" i="1"/>
  <c r="O77" i="1" s="1"/>
  <c r="K78" i="1"/>
  <c r="O78" i="1" s="1"/>
  <c r="K79" i="1"/>
  <c r="O79" i="1" s="1"/>
  <c r="K80" i="1"/>
  <c r="O80" i="1" s="1"/>
  <c r="K81" i="1"/>
  <c r="O81" i="1" s="1"/>
  <c r="K82" i="1"/>
  <c r="O82" i="1" s="1"/>
  <c r="K83" i="1"/>
  <c r="O83" i="1" s="1"/>
  <c r="K84" i="1"/>
  <c r="O84" i="1" s="1"/>
  <c r="K85" i="1"/>
  <c r="O85" i="1" s="1"/>
  <c r="K86" i="1"/>
  <c r="O86" i="1" s="1"/>
  <c r="K87" i="1"/>
  <c r="O87" i="1" s="1"/>
  <c r="K88" i="1"/>
  <c r="O88" i="1" s="1"/>
  <c r="K89" i="1"/>
  <c r="O89" i="1" s="1"/>
  <c r="K90" i="1"/>
  <c r="O90" i="1" s="1"/>
  <c r="K91" i="1"/>
  <c r="O91" i="1" s="1"/>
  <c r="K92" i="1"/>
  <c r="O92" i="1" s="1"/>
  <c r="K93" i="1"/>
  <c r="O93" i="1" s="1"/>
  <c r="K94" i="1"/>
  <c r="O94" i="1" s="1"/>
  <c r="K95" i="1"/>
  <c r="O95" i="1" s="1"/>
  <c r="K96" i="1"/>
  <c r="O96" i="1" s="1"/>
  <c r="K97" i="1"/>
  <c r="O97" i="1" s="1"/>
  <c r="K98" i="1"/>
  <c r="O98" i="1" s="1"/>
  <c r="K99" i="1"/>
  <c r="O99" i="1" s="1"/>
  <c r="K100" i="1"/>
  <c r="O100" i="1" s="1"/>
  <c r="K101" i="1"/>
  <c r="O101" i="1" s="1"/>
  <c r="K102" i="1"/>
  <c r="O102" i="1" s="1"/>
  <c r="K103" i="1"/>
  <c r="O103" i="1" s="1"/>
  <c r="K104" i="1"/>
  <c r="O104" i="1" s="1"/>
  <c r="K105" i="1"/>
  <c r="O105" i="1" s="1"/>
  <c r="K106" i="1"/>
  <c r="O106" i="1" s="1"/>
  <c r="K107" i="1"/>
  <c r="O107" i="1" s="1"/>
  <c r="K108" i="1"/>
  <c r="O108" i="1" s="1"/>
  <c r="K109" i="1"/>
  <c r="O109" i="1" s="1"/>
  <c r="K110" i="1"/>
  <c r="O110" i="1" s="1"/>
  <c r="K111" i="1"/>
  <c r="O111" i="1" s="1"/>
  <c r="K112" i="1"/>
  <c r="O112" i="1" s="1"/>
  <c r="K113" i="1"/>
  <c r="O113" i="1" s="1"/>
  <c r="K114" i="1"/>
  <c r="O114" i="1" s="1"/>
  <c r="K115" i="1"/>
  <c r="O115" i="1" s="1"/>
  <c r="K116" i="1"/>
  <c r="O116" i="1" s="1"/>
  <c r="K117" i="1"/>
  <c r="O117" i="1" s="1"/>
  <c r="K118" i="1"/>
  <c r="O118" i="1" s="1"/>
  <c r="K119" i="1"/>
  <c r="O119" i="1" s="1"/>
  <c r="K120" i="1"/>
  <c r="O120" i="1" s="1"/>
  <c r="K121" i="1"/>
  <c r="O121" i="1" s="1"/>
  <c r="K122" i="1"/>
  <c r="O122" i="1" s="1"/>
  <c r="K123" i="1"/>
  <c r="O123" i="1" s="1"/>
  <c r="K124" i="1"/>
  <c r="O124" i="1" s="1"/>
  <c r="K125" i="1"/>
  <c r="O125" i="1" s="1"/>
  <c r="K126" i="1"/>
  <c r="O126" i="1" s="1"/>
  <c r="K127" i="1"/>
  <c r="O127" i="1" s="1"/>
  <c r="K128" i="1"/>
  <c r="O128" i="1" s="1"/>
  <c r="K129" i="1"/>
  <c r="O129" i="1" s="1"/>
  <c r="K130" i="1"/>
  <c r="O130" i="1" s="1"/>
  <c r="K131" i="1"/>
  <c r="O131" i="1" s="1"/>
  <c r="K132" i="1"/>
  <c r="O132" i="1" s="1"/>
  <c r="K133" i="1"/>
  <c r="O133" i="1" s="1"/>
  <c r="K134" i="1"/>
  <c r="O134" i="1" s="1"/>
  <c r="K135" i="1"/>
  <c r="O135" i="1" s="1"/>
  <c r="K136" i="1"/>
  <c r="O136" i="1" s="1"/>
  <c r="K137" i="1"/>
  <c r="O137" i="1" s="1"/>
  <c r="K138" i="1"/>
  <c r="O138" i="1" s="1"/>
  <c r="K139" i="1"/>
  <c r="O139" i="1" s="1"/>
  <c r="K140" i="1"/>
  <c r="O140" i="1" s="1"/>
  <c r="K141" i="1"/>
  <c r="O141" i="1" s="1"/>
  <c r="K142" i="1"/>
  <c r="O142" i="1" s="1"/>
  <c r="K143" i="1"/>
  <c r="O143" i="1" s="1"/>
  <c r="K144" i="1"/>
  <c r="O144" i="1" s="1"/>
  <c r="K145" i="1"/>
  <c r="O145" i="1" s="1"/>
  <c r="K146" i="1"/>
  <c r="O146" i="1" s="1"/>
  <c r="K147" i="1"/>
  <c r="O147" i="1" s="1"/>
  <c r="K148" i="1"/>
  <c r="O148" i="1" s="1"/>
  <c r="K149" i="1"/>
  <c r="O149" i="1" s="1"/>
  <c r="K150" i="1"/>
  <c r="O150" i="1" s="1"/>
  <c r="K151" i="1"/>
  <c r="O151" i="1" s="1"/>
  <c r="K152" i="1"/>
  <c r="O152" i="1" s="1"/>
  <c r="K153" i="1"/>
  <c r="O153" i="1" s="1"/>
  <c r="K154" i="1"/>
  <c r="O154" i="1" s="1"/>
  <c r="K155" i="1"/>
  <c r="O155" i="1" s="1"/>
  <c r="K156" i="1"/>
  <c r="O156" i="1" s="1"/>
  <c r="K157" i="1"/>
  <c r="O157" i="1" s="1"/>
  <c r="K158" i="1"/>
  <c r="O158" i="1" s="1"/>
  <c r="K159" i="1"/>
  <c r="O159" i="1" s="1"/>
  <c r="K160" i="1"/>
  <c r="O160" i="1" s="1"/>
  <c r="K161" i="1"/>
  <c r="O161" i="1" s="1"/>
  <c r="K162" i="1"/>
  <c r="O162" i="1" s="1"/>
  <c r="K163" i="1"/>
  <c r="O163" i="1" s="1"/>
  <c r="K164" i="1"/>
  <c r="O164" i="1" s="1"/>
  <c r="K165" i="1"/>
  <c r="O165" i="1" s="1"/>
  <c r="K166" i="1"/>
  <c r="O166" i="1" s="1"/>
  <c r="K167" i="1"/>
  <c r="O167" i="1" s="1"/>
  <c r="K168" i="1"/>
  <c r="O168" i="1" s="1"/>
  <c r="K169" i="1"/>
  <c r="O169" i="1" s="1"/>
  <c r="K170" i="1"/>
  <c r="O170" i="1" s="1"/>
  <c r="K171" i="1"/>
  <c r="O171" i="1" s="1"/>
  <c r="K172" i="1"/>
  <c r="O172" i="1" s="1"/>
  <c r="K173" i="1"/>
  <c r="O173" i="1" s="1"/>
  <c r="K174" i="1"/>
  <c r="O174" i="1" s="1"/>
  <c r="K175" i="1"/>
  <c r="O175" i="1" s="1"/>
  <c r="K176" i="1"/>
  <c r="O176" i="1" s="1"/>
  <c r="K177" i="1"/>
  <c r="O177" i="1" s="1"/>
  <c r="K178" i="1"/>
  <c r="O178" i="1" s="1"/>
  <c r="K179" i="1"/>
  <c r="O179" i="1" s="1"/>
  <c r="K180" i="1"/>
  <c r="O180" i="1" s="1"/>
  <c r="K181" i="1"/>
  <c r="O181" i="1" s="1"/>
  <c r="K182" i="1"/>
  <c r="O182" i="1" s="1"/>
  <c r="K183" i="1"/>
  <c r="O183" i="1" s="1"/>
  <c r="K184" i="1"/>
  <c r="O184" i="1" s="1"/>
  <c r="K185" i="1"/>
  <c r="O185" i="1" s="1"/>
  <c r="K186" i="1"/>
  <c r="O186" i="1" s="1"/>
  <c r="K187" i="1"/>
  <c r="O187" i="1" s="1"/>
  <c r="K188" i="1"/>
  <c r="O188" i="1" s="1"/>
  <c r="K189" i="1"/>
  <c r="O189" i="1" s="1"/>
  <c r="K190" i="1"/>
  <c r="O190" i="1" s="1"/>
  <c r="K191" i="1"/>
  <c r="O191" i="1" s="1"/>
  <c r="K192" i="1"/>
  <c r="O192" i="1" s="1"/>
  <c r="K193" i="1"/>
  <c r="O193" i="1" s="1"/>
  <c r="K194" i="1"/>
  <c r="O194" i="1" s="1"/>
  <c r="K195" i="1"/>
  <c r="O195" i="1" s="1"/>
  <c r="K196" i="1"/>
  <c r="O196" i="1" s="1"/>
  <c r="K197" i="1"/>
  <c r="O197" i="1" s="1"/>
  <c r="K198" i="1"/>
  <c r="O198" i="1" s="1"/>
  <c r="K199" i="1"/>
  <c r="O199" i="1" s="1"/>
  <c r="K200" i="1"/>
  <c r="O200" i="1" s="1"/>
  <c r="K201" i="1"/>
  <c r="O201" i="1" s="1"/>
  <c r="K202" i="1"/>
  <c r="O202" i="1" s="1"/>
  <c r="K203" i="1"/>
  <c r="O203" i="1" s="1"/>
  <c r="K204" i="1"/>
  <c r="O204" i="1" s="1"/>
  <c r="K205" i="1"/>
  <c r="O205" i="1" s="1"/>
  <c r="K206" i="1"/>
  <c r="O206" i="1" s="1"/>
  <c r="K207" i="1"/>
  <c r="O207" i="1" s="1"/>
  <c r="K208" i="1"/>
  <c r="O208" i="1" s="1"/>
  <c r="K209" i="1"/>
  <c r="O209" i="1" s="1"/>
  <c r="K210" i="1"/>
  <c r="O210" i="1" s="1"/>
  <c r="K211" i="1"/>
  <c r="O211" i="1" s="1"/>
  <c r="K212" i="1"/>
  <c r="O212" i="1" s="1"/>
  <c r="K213" i="1"/>
  <c r="O213" i="1" s="1"/>
  <c r="K214" i="1"/>
  <c r="O214" i="1" s="1"/>
  <c r="K215" i="1"/>
  <c r="O215" i="1" s="1"/>
  <c r="K216" i="1"/>
  <c r="O216" i="1" s="1"/>
  <c r="K217" i="1"/>
  <c r="O217" i="1" s="1"/>
  <c r="K218" i="1"/>
  <c r="O218" i="1" s="1"/>
  <c r="K219" i="1"/>
  <c r="O219" i="1" s="1"/>
  <c r="K220" i="1"/>
  <c r="O220" i="1" s="1"/>
  <c r="K221" i="1"/>
  <c r="O221" i="1" s="1"/>
  <c r="K222" i="1"/>
  <c r="O222" i="1" s="1"/>
  <c r="K223" i="1"/>
  <c r="O223" i="1" s="1"/>
  <c r="K224" i="1"/>
  <c r="O224" i="1" s="1"/>
  <c r="K225" i="1"/>
  <c r="O225" i="1" s="1"/>
  <c r="K226" i="1"/>
  <c r="O226" i="1" s="1"/>
  <c r="K227" i="1"/>
  <c r="O227" i="1" s="1"/>
  <c r="K228" i="1"/>
  <c r="O228" i="1" s="1"/>
  <c r="K229" i="1"/>
  <c r="O229" i="1" s="1"/>
  <c r="K230" i="1"/>
  <c r="O230" i="1" s="1"/>
  <c r="K231" i="1"/>
  <c r="O231" i="1" s="1"/>
  <c r="K232" i="1"/>
  <c r="O232" i="1" s="1"/>
  <c r="K233" i="1"/>
  <c r="O233" i="1" s="1"/>
  <c r="K234" i="1"/>
  <c r="O234" i="1" s="1"/>
  <c r="K235" i="1"/>
  <c r="O235" i="1" s="1"/>
  <c r="K236" i="1"/>
  <c r="O236" i="1" s="1"/>
  <c r="K237" i="1"/>
  <c r="O237" i="1" s="1"/>
  <c r="K238" i="1"/>
  <c r="O238" i="1" s="1"/>
  <c r="K239" i="1"/>
  <c r="O239" i="1" s="1"/>
  <c r="K240" i="1"/>
  <c r="O240" i="1" s="1"/>
  <c r="K241" i="1"/>
  <c r="O241" i="1" s="1"/>
  <c r="K242" i="1"/>
  <c r="O242" i="1" s="1"/>
  <c r="K243" i="1"/>
  <c r="O243" i="1" s="1"/>
  <c r="K244" i="1"/>
  <c r="O244" i="1" s="1"/>
  <c r="K245" i="1"/>
  <c r="O245" i="1" s="1"/>
  <c r="K246" i="1"/>
  <c r="O246" i="1" s="1"/>
  <c r="K247" i="1"/>
  <c r="O247" i="1" s="1"/>
  <c r="K248" i="1"/>
  <c r="O248" i="1" s="1"/>
  <c r="K249" i="1"/>
  <c r="O249" i="1" s="1"/>
  <c r="K250" i="1"/>
  <c r="O250" i="1" s="1"/>
  <c r="K251" i="1"/>
  <c r="O251" i="1" s="1"/>
  <c r="K252" i="1"/>
  <c r="O252" i="1" s="1"/>
  <c r="K253" i="1"/>
  <c r="O253" i="1" s="1"/>
  <c r="K254" i="1"/>
  <c r="O254" i="1" s="1"/>
  <c r="K255" i="1"/>
  <c r="O255" i="1" s="1"/>
  <c r="K256" i="1"/>
  <c r="O256" i="1" s="1"/>
  <c r="K257" i="1"/>
  <c r="O257" i="1" s="1"/>
  <c r="K258" i="1"/>
  <c r="O258" i="1" s="1"/>
  <c r="K259" i="1"/>
  <c r="O259" i="1" s="1"/>
  <c r="K260" i="1"/>
  <c r="O260" i="1" s="1"/>
  <c r="K261" i="1"/>
  <c r="O261" i="1" s="1"/>
  <c r="K262" i="1"/>
  <c r="O262" i="1" s="1"/>
  <c r="K263" i="1"/>
  <c r="O263" i="1" s="1"/>
  <c r="K264" i="1"/>
  <c r="O264" i="1" s="1"/>
  <c r="K265" i="1"/>
  <c r="O265" i="1" s="1"/>
  <c r="K266" i="1"/>
  <c r="O266" i="1" s="1"/>
  <c r="K267" i="1"/>
  <c r="O267" i="1" s="1"/>
  <c r="K268" i="1"/>
  <c r="O268" i="1" s="1"/>
  <c r="K269" i="1"/>
  <c r="O269" i="1" s="1"/>
  <c r="K270" i="1"/>
  <c r="O270" i="1" s="1"/>
  <c r="K271" i="1"/>
  <c r="O271" i="1" s="1"/>
  <c r="K272" i="1"/>
  <c r="O272" i="1" s="1"/>
  <c r="K273" i="1"/>
  <c r="O273" i="1" s="1"/>
  <c r="K274" i="1"/>
  <c r="O274" i="1" s="1"/>
  <c r="K275" i="1"/>
  <c r="O275" i="1" s="1"/>
  <c r="K276" i="1"/>
  <c r="O276" i="1" s="1"/>
  <c r="K277" i="1"/>
  <c r="O277" i="1" s="1"/>
  <c r="K278" i="1"/>
  <c r="O278" i="1" s="1"/>
  <c r="K279" i="1"/>
  <c r="O279" i="1" s="1"/>
  <c r="K280" i="1"/>
  <c r="O280" i="1" s="1"/>
  <c r="K281" i="1"/>
  <c r="O281" i="1" s="1"/>
  <c r="K282" i="1"/>
  <c r="O282" i="1" s="1"/>
  <c r="K283" i="1"/>
  <c r="O283" i="1" s="1"/>
  <c r="K284" i="1"/>
  <c r="O284" i="1" s="1"/>
  <c r="K285" i="1"/>
  <c r="O285" i="1" s="1"/>
  <c r="K286" i="1"/>
  <c r="O286" i="1" s="1"/>
  <c r="K287" i="1"/>
  <c r="O287" i="1" s="1"/>
  <c r="K288" i="1"/>
  <c r="O288" i="1" s="1"/>
  <c r="K289" i="1"/>
  <c r="O289" i="1" s="1"/>
  <c r="K290" i="1"/>
  <c r="O290" i="1" s="1"/>
  <c r="K291" i="1"/>
  <c r="O291" i="1" s="1"/>
  <c r="K292" i="1"/>
  <c r="O292" i="1" s="1"/>
  <c r="K293" i="1"/>
  <c r="O293" i="1" s="1"/>
  <c r="K294" i="1"/>
  <c r="O294" i="1" s="1"/>
  <c r="K295" i="1"/>
  <c r="O295" i="1" s="1"/>
  <c r="K296" i="1"/>
  <c r="O296" i="1" s="1"/>
  <c r="K297" i="1"/>
  <c r="O297" i="1" s="1"/>
  <c r="K298" i="1"/>
  <c r="O298" i="1" s="1"/>
  <c r="K299" i="1"/>
  <c r="O299" i="1" s="1"/>
  <c r="K300" i="1"/>
  <c r="O300" i="1" s="1"/>
  <c r="K301" i="1"/>
  <c r="O301" i="1" s="1"/>
  <c r="K302" i="1"/>
  <c r="O302" i="1" s="1"/>
  <c r="K303" i="1"/>
  <c r="O303" i="1" s="1"/>
  <c r="K304" i="1"/>
  <c r="O304" i="1" s="1"/>
  <c r="K305" i="1"/>
  <c r="O305" i="1" s="1"/>
  <c r="K306" i="1"/>
  <c r="O306" i="1" s="1"/>
  <c r="K307" i="1"/>
  <c r="O307" i="1" s="1"/>
  <c r="K308" i="1"/>
  <c r="O308" i="1" s="1"/>
  <c r="K309" i="1"/>
  <c r="O309" i="1" s="1"/>
  <c r="K310" i="1"/>
  <c r="O310" i="1" s="1"/>
  <c r="K311" i="1"/>
  <c r="O311" i="1" s="1"/>
  <c r="K312" i="1"/>
  <c r="O312" i="1" s="1"/>
  <c r="K313" i="1"/>
  <c r="O313" i="1" s="1"/>
  <c r="K314" i="1"/>
  <c r="O314" i="1" s="1"/>
  <c r="K315" i="1"/>
  <c r="O315" i="1" s="1"/>
  <c r="K316" i="1"/>
  <c r="O316" i="1" s="1"/>
  <c r="K317" i="1"/>
  <c r="O317" i="1" s="1"/>
  <c r="K318" i="1"/>
  <c r="O318" i="1" s="1"/>
  <c r="K319" i="1"/>
  <c r="O319" i="1" s="1"/>
  <c r="K320" i="1"/>
  <c r="O320" i="1" s="1"/>
  <c r="K321" i="1"/>
  <c r="O321" i="1" s="1"/>
  <c r="K322" i="1"/>
  <c r="O322" i="1" s="1"/>
  <c r="K323" i="1"/>
  <c r="O323" i="1" s="1"/>
  <c r="K324" i="1"/>
  <c r="O324" i="1" s="1"/>
  <c r="K325" i="1"/>
  <c r="O325" i="1" s="1"/>
  <c r="K326" i="1"/>
  <c r="O326" i="1" s="1"/>
  <c r="K327" i="1"/>
  <c r="O327" i="1" s="1"/>
  <c r="K328" i="1"/>
  <c r="O328" i="1" s="1"/>
  <c r="K329" i="1"/>
  <c r="O329" i="1" s="1"/>
  <c r="K330" i="1"/>
  <c r="O330" i="1" s="1"/>
  <c r="K331" i="1"/>
  <c r="O331" i="1" s="1"/>
  <c r="K332" i="1"/>
  <c r="O332" i="1" s="1"/>
  <c r="K333" i="1"/>
  <c r="O333" i="1" s="1"/>
  <c r="K334" i="1"/>
  <c r="O334" i="1" s="1"/>
  <c r="K335" i="1"/>
  <c r="O335" i="1" s="1"/>
  <c r="K336" i="1"/>
  <c r="O336" i="1" s="1"/>
  <c r="K337" i="1"/>
  <c r="O337" i="1" s="1"/>
  <c r="K338" i="1"/>
  <c r="O338" i="1" s="1"/>
  <c r="K339" i="1"/>
  <c r="O339" i="1" s="1"/>
  <c r="K340" i="1"/>
  <c r="O340" i="1" s="1"/>
  <c r="K341" i="1"/>
  <c r="O341" i="1" s="1"/>
  <c r="K342" i="1"/>
  <c r="O342" i="1" s="1"/>
  <c r="K343" i="1"/>
  <c r="O343" i="1" s="1"/>
  <c r="K344" i="1"/>
  <c r="O344" i="1" s="1"/>
  <c r="K345" i="1"/>
  <c r="O345" i="1" s="1"/>
  <c r="K346" i="1"/>
  <c r="O346" i="1" s="1"/>
  <c r="K347" i="1"/>
  <c r="O347" i="1" s="1"/>
  <c r="K348" i="1"/>
  <c r="O348" i="1" s="1"/>
  <c r="K349" i="1"/>
  <c r="O349" i="1" s="1"/>
  <c r="K350" i="1"/>
  <c r="O350" i="1" s="1"/>
  <c r="K351" i="1"/>
  <c r="O351" i="1" s="1"/>
  <c r="K352" i="1"/>
  <c r="O352" i="1" s="1"/>
  <c r="K353" i="1"/>
  <c r="O353" i="1" s="1"/>
  <c r="K354" i="1"/>
  <c r="O354" i="1" s="1"/>
  <c r="K355" i="1"/>
  <c r="O355" i="1" s="1"/>
  <c r="K356" i="1"/>
  <c r="O356" i="1" s="1"/>
  <c r="K357" i="1"/>
  <c r="O357" i="1" s="1"/>
  <c r="K358" i="1"/>
  <c r="O358" i="1" s="1"/>
  <c r="K359" i="1"/>
  <c r="O359" i="1" s="1"/>
  <c r="K360" i="1"/>
  <c r="O360" i="1" s="1"/>
  <c r="K361" i="1"/>
  <c r="O361" i="1" s="1"/>
  <c r="K362" i="1"/>
  <c r="O362" i="1" s="1"/>
  <c r="K363" i="1"/>
  <c r="O363" i="1" s="1"/>
  <c r="K364" i="1"/>
  <c r="O364" i="1" s="1"/>
  <c r="K365" i="1"/>
  <c r="O365" i="1" s="1"/>
  <c r="K366" i="1"/>
  <c r="O366" i="1" s="1"/>
  <c r="K367" i="1"/>
  <c r="O367" i="1" s="1"/>
  <c r="K368" i="1"/>
  <c r="O368" i="1" s="1"/>
  <c r="K369" i="1"/>
  <c r="O369" i="1" s="1"/>
  <c r="K370" i="1"/>
  <c r="O370" i="1" s="1"/>
  <c r="K371" i="1"/>
  <c r="O371" i="1" s="1"/>
  <c r="K372" i="1"/>
  <c r="O372" i="1" s="1"/>
  <c r="K373" i="1"/>
  <c r="O373" i="1" s="1"/>
  <c r="K374" i="1"/>
  <c r="O374" i="1" s="1"/>
  <c r="K375" i="1"/>
  <c r="O375" i="1" s="1"/>
  <c r="K376" i="1"/>
  <c r="O376" i="1" s="1"/>
  <c r="K377" i="1"/>
  <c r="O377" i="1" s="1"/>
  <c r="K378" i="1"/>
  <c r="O378" i="1" s="1"/>
  <c r="K379" i="1"/>
  <c r="O379" i="1" s="1"/>
  <c r="K380" i="1"/>
  <c r="O380" i="1" s="1"/>
  <c r="K381" i="1"/>
  <c r="O381" i="1" s="1"/>
  <c r="K382" i="1"/>
  <c r="O382" i="1" s="1"/>
  <c r="K383" i="1"/>
  <c r="O383" i="1" s="1"/>
  <c r="K384" i="1"/>
  <c r="O384" i="1" s="1"/>
  <c r="K385" i="1"/>
  <c r="O385" i="1" s="1"/>
  <c r="K386" i="1"/>
  <c r="O386" i="1" s="1"/>
  <c r="K387" i="1"/>
  <c r="O387" i="1" s="1"/>
  <c r="K388" i="1"/>
  <c r="O388" i="1" s="1"/>
  <c r="K389" i="1"/>
  <c r="O389" i="1" s="1"/>
  <c r="K390" i="1"/>
  <c r="O390" i="1" s="1"/>
  <c r="K391" i="1"/>
  <c r="O391" i="1" s="1"/>
  <c r="K392" i="1"/>
  <c r="O392" i="1" s="1"/>
  <c r="K393" i="1"/>
  <c r="O393" i="1" s="1"/>
  <c r="K394" i="1"/>
  <c r="O394" i="1" s="1"/>
  <c r="K395" i="1"/>
  <c r="O395" i="1" s="1"/>
  <c r="K396" i="1"/>
  <c r="O396" i="1" s="1"/>
  <c r="K397" i="1"/>
  <c r="O397" i="1" s="1"/>
  <c r="K398" i="1"/>
  <c r="O398" i="1" s="1"/>
  <c r="K399" i="1"/>
  <c r="O399" i="1" s="1"/>
  <c r="K400" i="1"/>
  <c r="O400" i="1" s="1"/>
  <c r="K401" i="1"/>
  <c r="O401" i="1" s="1"/>
  <c r="K402" i="1"/>
  <c r="O402" i="1" s="1"/>
  <c r="K403" i="1"/>
  <c r="O403" i="1" s="1"/>
  <c r="K404" i="1"/>
  <c r="O404" i="1" s="1"/>
  <c r="K405" i="1"/>
  <c r="O405" i="1" s="1"/>
  <c r="K406" i="1"/>
  <c r="O406" i="1" s="1"/>
  <c r="K407" i="1"/>
  <c r="O407" i="1" s="1"/>
  <c r="K408" i="1"/>
  <c r="O408" i="1" s="1"/>
  <c r="K409" i="1"/>
  <c r="O409" i="1" s="1"/>
  <c r="K410" i="1"/>
  <c r="O410" i="1" s="1"/>
  <c r="K411" i="1"/>
  <c r="O411" i="1" s="1"/>
  <c r="K412" i="1"/>
  <c r="O412" i="1" s="1"/>
  <c r="K413" i="1"/>
  <c r="O413" i="1" s="1"/>
  <c r="K414" i="1"/>
  <c r="O414" i="1" s="1"/>
  <c r="K415" i="1"/>
  <c r="O415" i="1" s="1"/>
  <c r="K416" i="1"/>
  <c r="O416" i="1" s="1"/>
  <c r="K417" i="1"/>
  <c r="O417" i="1" s="1"/>
  <c r="K418" i="1"/>
  <c r="O418" i="1" s="1"/>
  <c r="K419" i="1"/>
  <c r="O419" i="1" s="1"/>
  <c r="K420" i="1"/>
  <c r="O420" i="1" s="1"/>
  <c r="K421" i="1"/>
  <c r="O421" i="1" s="1"/>
  <c r="K422" i="1"/>
  <c r="O422" i="1" s="1"/>
  <c r="K423" i="1"/>
  <c r="O423" i="1" s="1"/>
  <c r="K424" i="1"/>
  <c r="O424" i="1" s="1"/>
  <c r="K425" i="1"/>
  <c r="O425" i="1" s="1"/>
  <c r="K426" i="1"/>
  <c r="O426" i="1" s="1"/>
  <c r="K427" i="1"/>
  <c r="O427" i="1" s="1"/>
  <c r="K428" i="1"/>
  <c r="O428" i="1" s="1"/>
  <c r="K429" i="1"/>
  <c r="O429" i="1" s="1"/>
  <c r="K430" i="1"/>
  <c r="O430" i="1" s="1"/>
  <c r="K431" i="1"/>
  <c r="O431" i="1" s="1"/>
  <c r="K432" i="1"/>
  <c r="O432" i="1" s="1"/>
  <c r="K433" i="1"/>
  <c r="O433" i="1" s="1"/>
  <c r="K434" i="1"/>
  <c r="O434" i="1" s="1"/>
  <c r="K435" i="1"/>
  <c r="O435" i="1" s="1"/>
  <c r="K436" i="1"/>
  <c r="O436" i="1" s="1"/>
  <c r="K437" i="1"/>
  <c r="O437" i="1" s="1"/>
  <c r="K438" i="1"/>
  <c r="O438" i="1" s="1"/>
  <c r="K439" i="1"/>
  <c r="O439" i="1" s="1"/>
  <c r="K440" i="1"/>
  <c r="O440" i="1" s="1"/>
  <c r="K441" i="1"/>
  <c r="O441" i="1" s="1"/>
  <c r="K442" i="1"/>
  <c r="O442" i="1" s="1"/>
  <c r="K443" i="1"/>
  <c r="O443" i="1" s="1"/>
  <c r="K444" i="1"/>
  <c r="O444" i="1" s="1"/>
  <c r="K445" i="1"/>
  <c r="O445" i="1" s="1"/>
  <c r="K446" i="1"/>
  <c r="O446" i="1" s="1"/>
  <c r="K447" i="1"/>
  <c r="O447" i="1" s="1"/>
  <c r="K448" i="1"/>
  <c r="O448" i="1" s="1"/>
  <c r="K449" i="1"/>
  <c r="O449" i="1" s="1"/>
  <c r="K450" i="1"/>
  <c r="O450" i="1" s="1"/>
  <c r="K451" i="1"/>
  <c r="O451" i="1" s="1"/>
  <c r="K452" i="1"/>
  <c r="O452" i="1" s="1"/>
  <c r="K453" i="1"/>
  <c r="O453" i="1" s="1"/>
  <c r="K454" i="1"/>
  <c r="O454" i="1" s="1"/>
  <c r="K455" i="1"/>
  <c r="O455" i="1" s="1"/>
  <c r="K456" i="1"/>
  <c r="O456" i="1" s="1"/>
  <c r="K457" i="1"/>
  <c r="O457" i="1" s="1"/>
  <c r="K458" i="1"/>
  <c r="O458" i="1" s="1"/>
  <c r="K459" i="1"/>
  <c r="O459" i="1" s="1"/>
  <c r="K460" i="1"/>
  <c r="O460" i="1" s="1"/>
  <c r="K461" i="1"/>
  <c r="O461" i="1" s="1"/>
  <c r="K462" i="1"/>
  <c r="O462" i="1" s="1"/>
  <c r="K463" i="1"/>
  <c r="O463" i="1" s="1"/>
  <c r="K464" i="1"/>
  <c r="O464" i="1" s="1"/>
  <c r="K465" i="1"/>
  <c r="O465" i="1" s="1"/>
  <c r="K466" i="1"/>
  <c r="O466" i="1" s="1"/>
  <c r="K467" i="1"/>
  <c r="O467" i="1" s="1"/>
  <c r="K468" i="1"/>
  <c r="O468" i="1" s="1"/>
  <c r="K469" i="1"/>
  <c r="O469" i="1" s="1"/>
  <c r="K470" i="1"/>
  <c r="O470" i="1" s="1"/>
  <c r="K471" i="1"/>
  <c r="O471" i="1" s="1"/>
  <c r="K472" i="1"/>
  <c r="O472" i="1" s="1"/>
  <c r="K473" i="1"/>
  <c r="O473" i="1" s="1"/>
  <c r="K474" i="1"/>
  <c r="O474" i="1" s="1"/>
  <c r="K475" i="1"/>
  <c r="O475" i="1" s="1"/>
  <c r="K476" i="1"/>
  <c r="O476" i="1" s="1"/>
  <c r="K477" i="1"/>
  <c r="O477" i="1" s="1"/>
  <c r="K478" i="1"/>
  <c r="O478" i="1" s="1"/>
  <c r="K479" i="1"/>
  <c r="O479" i="1" s="1"/>
  <c r="K480" i="1"/>
  <c r="O480" i="1" s="1"/>
  <c r="K481" i="1"/>
  <c r="O481" i="1" s="1"/>
  <c r="K482" i="1"/>
  <c r="O482" i="1" s="1"/>
  <c r="K483" i="1"/>
  <c r="O483" i="1" s="1"/>
  <c r="K484" i="1"/>
  <c r="O484" i="1" s="1"/>
  <c r="K485" i="1"/>
  <c r="O485" i="1" s="1"/>
  <c r="K486" i="1"/>
  <c r="O486" i="1" s="1"/>
  <c r="K487" i="1"/>
  <c r="O487" i="1" s="1"/>
  <c r="K488" i="1"/>
  <c r="O488" i="1" s="1"/>
  <c r="K489" i="1"/>
  <c r="O489" i="1" s="1"/>
  <c r="K490" i="1"/>
  <c r="O490" i="1" s="1"/>
  <c r="K491" i="1"/>
  <c r="O491" i="1" s="1"/>
  <c r="K492" i="1"/>
  <c r="O492" i="1" s="1"/>
  <c r="K493" i="1"/>
  <c r="O493" i="1" s="1"/>
  <c r="K494" i="1"/>
  <c r="O494" i="1" s="1"/>
  <c r="K495" i="1"/>
  <c r="O495" i="1" s="1"/>
  <c r="K496" i="1"/>
  <c r="O496" i="1" s="1"/>
  <c r="K497" i="1"/>
  <c r="O497" i="1" s="1"/>
  <c r="K498" i="1"/>
  <c r="O498" i="1" s="1"/>
  <c r="K499" i="1"/>
  <c r="O499" i="1" s="1"/>
  <c r="K500" i="1"/>
  <c r="O500" i="1" s="1"/>
  <c r="K501" i="1"/>
  <c r="O501" i="1" s="1"/>
  <c r="K502" i="1"/>
  <c r="O502" i="1" s="1"/>
  <c r="K503" i="1"/>
  <c r="O503" i="1" s="1"/>
  <c r="K504" i="1"/>
  <c r="O504" i="1" s="1"/>
  <c r="K505" i="1"/>
  <c r="O505" i="1" s="1"/>
  <c r="K506" i="1"/>
  <c r="O506" i="1" s="1"/>
  <c r="K507" i="1"/>
  <c r="O507" i="1" s="1"/>
  <c r="K508" i="1"/>
  <c r="O508" i="1" s="1"/>
  <c r="K509" i="1"/>
  <c r="O509" i="1" s="1"/>
  <c r="K510" i="1"/>
  <c r="O510" i="1" s="1"/>
  <c r="K511" i="1"/>
  <c r="O511" i="1" s="1"/>
  <c r="K512" i="1"/>
  <c r="O512" i="1" s="1"/>
  <c r="K513" i="1"/>
  <c r="O513" i="1" s="1"/>
  <c r="K514" i="1"/>
  <c r="O514" i="1" s="1"/>
  <c r="K515" i="1"/>
  <c r="O515" i="1" s="1"/>
  <c r="K516" i="1"/>
  <c r="O516" i="1" s="1"/>
  <c r="K517" i="1"/>
  <c r="O517" i="1" s="1"/>
  <c r="K518" i="1"/>
  <c r="O518" i="1" s="1"/>
  <c r="K519" i="1"/>
  <c r="O519" i="1" s="1"/>
  <c r="K520" i="1"/>
  <c r="O520" i="1" s="1"/>
  <c r="K521" i="1"/>
  <c r="O521" i="1" s="1"/>
  <c r="K522" i="1"/>
  <c r="O522" i="1" s="1"/>
  <c r="K523" i="1"/>
  <c r="O523" i="1" s="1"/>
  <c r="K524" i="1"/>
  <c r="O524" i="1" s="1"/>
  <c r="K525" i="1"/>
  <c r="O525" i="1" s="1"/>
  <c r="K526" i="1"/>
  <c r="O526" i="1" s="1"/>
  <c r="K527" i="1"/>
  <c r="O527" i="1" s="1"/>
  <c r="K528" i="1"/>
  <c r="O528" i="1" s="1"/>
  <c r="K529" i="1"/>
  <c r="O529" i="1" s="1"/>
  <c r="K530" i="1"/>
  <c r="O530" i="1" s="1"/>
  <c r="K531" i="1"/>
  <c r="O531" i="1" s="1"/>
  <c r="K532" i="1"/>
  <c r="O532" i="1" s="1"/>
  <c r="K533" i="1"/>
  <c r="O533" i="1" s="1"/>
  <c r="K534" i="1"/>
  <c r="O534" i="1" s="1"/>
  <c r="K535" i="1"/>
  <c r="O535" i="1" s="1"/>
  <c r="K536" i="1"/>
  <c r="O536" i="1" s="1"/>
  <c r="K537" i="1"/>
  <c r="O537" i="1" s="1"/>
  <c r="K538" i="1"/>
  <c r="O538" i="1" s="1"/>
  <c r="K539" i="1"/>
  <c r="O539" i="1" s="1"/>
  <c r="K540" i="1"/>
  <c r="O540" i="1" s="1"/>
  <c r="K541" i="1"/>
  <c r="O541" i="1" s="1"/>
  <c r="K542" i="1"/>
  <c r="O542" i="1" s="1"/>
  <c r="K543" i="1"/>
  <c r="O543" i="1" s="1"/>
  <c r="K544" i="1"/>
  <c r="O544" i="1" s="1"/>
  <c r="K545" i="1"/>
  <c r="O545" i="1" s="1"/>
  <c r="K546" i="1"/>
  <c r="O546" i="1" s="1"/>
  <c r="K547" i="1"/>
  <c r="O547" i="1" s="1"/>
  <c r="K548" i="1"/>
  <c r="O548" i="1" s="1"/>
  <c r="K549" i="1"/>
  <c r="O549" i="1" s="1"/>
  <c r="K550" i="1"/>
  <c r="O550" i="1" s="1"/>
  <c r="K551" i="1"/>
  <c r="O551" i="1" s="1"/>
  <c r="K552" i="1"/>
  <c r="O552" i="1" s="1"/>
  <c r="K553" i="1"/>
  <c r="O553" i="1" s="1"/>
  <c r="K554" i="1"/>
  <c r="O554" i="1" s="1"/>
  <c r="K555" i="1"/>
  <c r="O555" i="1" s="1"/>
  <c r="K556" i="1"/>
  <c r="O556" i="1" s="1"/>
  <c r="K557" i="1"/>
  <c r="O557" i="1" s="1"/>
  <c r="K558" i="1"/>
  <c r="O558" i="1" s="1"/>
  <c r="K559" i="1"/>
  <c r="O559" i="1" s="1"/>
  <c r="K560" i="1"/>
  <c r="O560" i="1" s="1"/>
  <c r="K561" i="1"/>
  <c r="O561" i="1" s="1"/>
  <c r="K562" i="1"/>
  <c r="O562" i="1" s="1"/>
  <c r="K563" i="1"/>
  <c r="O563" i="1" s="1"/>
  <c r="K564" i="1"/>
  <c r="O564" i="1" s="1"/>
  <c r="K565" i="1"/>
  <c r="O565" i="1" s="1"/>
  <c r="K566" i="1"/>
  <c r="O566" i="1" s="1"/>
  <c r="K567" i="1"/>
  <c r="O567" i="1" s="1"/>
  <c r="K568" i="1"/>
  <c r="O568" i="1" s="1"/>
  <c r="K569" i="1"/>
  <c r="O569" i="1" s="1"/>
  <c r="K570" i="1"/>
  <c r="O570" i="1" s="1"/>
  <c r="K571" i="1"/>
  <c r="O571" i="1" s="1"/>
  <c r="K572" i="1"/>
  <c r="O572" i="1" s="1"/>
  <c r="K573" i="1"/>
  <c r="O573" i="1" s="1"/>
  <c r="K574" i="1"/>
  <c r="O574" i="1" s="1"/>
  <c r="K575" i="1"/>
  <c r="O575" i="1" s="1"/>
  <c r="K576" i="1"/>
  <c r="O576" i="1" s="1"/>
  <c r="K577" i="1"/>
  <c r="O577" i="1" s="1"/>
  <c r="K578" i="1"/>
  <c r="O578" i="1" s="1"/>
  <c r="K579" i="1"/>
  <c r="O579" i="1" s="1"/>
  <c r="K580" i="1"/>
  <c r="O580" i="1" s="1"/>
  <c r="K581" i="1"/>
  <c r="O581" i="1" s="1"/>
  <c r="K582" i="1"/>
  <c r="O582" i="1" s="1"/>
  <c r="K583" i="1"/>
  <c r="O583" i="1" s="1"/>
  <c r="K584" i="1"/>
  <c r="O584" i="1" s="1"/>
  <c r="K585" i="1"/>
  <c r="O585" i="1" s="1"/>
  <c r="K586" i="1"/>
  <c r="O586" i="1" s="1"/>
  <c r="K587" i="1"/>
  <c r="O587" i="1" s="1"/>
  <c r="K588" i="1"/>
  <c r="O588" i="1" s="1"/>
  <c r="K589" i="1"/>
  <c r="O589" i="1" s="1"/>
  <c r="K590" i="1"/>
  <c r="O590" i="1" s="1"/>
  <c r="K591" i="1"/>
  <c r="O591" i="1" s="1"/>
  <c r="K592" i="1"/>
  <c r="O592" i="1" s="1"/>
  <c r="K593" i="1"/>
  <c r="O593" i="1" s="1"/>
  <c r="K594" i="1"/>
  <c r="O594" i="1" s="1"/>
  <c r="K595" i="1"/>
  <c r="O595" i="1" s="1"/>
  <c r="K596" i="1"/>
  <c r="O596" i="1" s="1"/>
  <c r="K597" i="1"/>
  <c r="O597" i="1" s="1"/>
  <c r="K598" i="1"/>
  <c r="O598" i="1" s="1"/>
  <c r="K599" i="1"/>
  <c r="O599" i="1" s="1"/>
  <c r="K600" i="1"/>
  <c r="O600" i="1" s="1"/>
  <c r="K601" i="1"/>
  <c r="O601" i="1" s="1"/>
  <c r="K602" i="1"/>
  <c r="O602" i="1" s="1"/>
  <c r="K603" i="1"/>
  <c r="O603" i="1" s="1"/>
  <c r="K604" i="1"/>
  <c r="O604" i="1" s="1"/>
  <c r="K605" i="1"/>
  <c r="O605" i="1" s="1"/>
  <c r="K606" i="1"/>
  <c r="O606" i="1" s="1"/>
  <c r="K607" i="1"/>
  <c r="O607" i="1" s="1"/>
  <c r="K608" i="1"/>
  <c r="O608" i="1" s="1"/>
  <c r="K609" i="1"/>
  <c r="O609" i="1" s="1"/>
  <c r="K610" i="1"/>
  <c r="O610" i="1" s="1"/>
  <c r="K611" i="1"/>
  <c r="O611" i="1" s="1"/>
  <c r="K612" i="1"/>
  <c r="O612" i="1" s="1"/>
  <c r="K613" i="1"/>
  <c r="O613" i="1" s="1"/>
  <c r="K614" i="1"/>
  <c r="O614" i="1" s="1"/>
  <c r="K615" i="1"/>
  <c r="O615" i="1" s="1"/>
  <c r="K616" i="1"/>
  <c r="O616" i="1" s="1"/>
  <c r="K617" i="1"/>
  <c r="O617" i="1" s="1"/>
  <c r="K618" i="1"/>
  <c r="O618" i="1" s="1"/>
  <c r="K619" i="1"/>
  <c r="O619" i="1" s="1"/>
  <c r="K620" i="1"/>
  <c r="O620" i="1" s="1"/>
  <c r="K621" i="1"/>
  <c r="O621" i="1" s="1"/>
  <c r="K622" i="1"/>
  <c r="O622" i="1" s="1"/>
  <c r="K623" i="1"/>
  <c r="O623" i="1" s="1"/>
  <c r="K624" i="1"/>
  <c r="O624" i="1" s="1"/>
  <c r="K625" i="1"/>
  <c r="O625" i="1" s="1"/>
  <c r="K626" i="1"/>
  <c r="O626" i="1" s="1"/>
  <c r="K627" i="1"/>
  <c r="O627" i="1" s="1"/>
  <c r="K628" i="1"/>
  <c r="O628" i="1" s="1"/>
  <c r="K629" i="1"/>
  <c r="O629" i="1" s="1"/>
  <c r="K630" i="1"/>
  <c r="O630" i="1" s="1"/>
  <c r="K631" i="1"/>
  <c r="O631" i="1" s="1"/>
  <c r="K632" i="1"/>
  <c r="O632" i="1" s="1"/>
  <c r="K633" i="1"/>
  <c r="O633" i="1" s="1"/>
  <c r="K634" i="1"/>
  <c r="O634" i="1" s="1"/>
  <c r="K635" i="1"/>
  <c r="O635" i="1" s="1"/>
  <c r="K636" i="1"/>
  <c r="O636" i="1" s="1"/>
  <c r="K637" i="1"/>
  <c r="O637" i="1" s="1"/>
  <c r="K638" i="1"/>
  <c r="O638" i="1" s="1"/>
  <c r="K639" i="1"/>
  <c r="O639" i="1" s="1"/>
  <c r="K640" i="1"/>
  <c r="O640" i="1" s="1"/>
  <c r="K641" i="1"/>
  <c r="O641" i="1" s="1"/>
  <c r="K642" i="1"/>
  <c r="O642" i="1" s="1"/>
  <c r="K643" i="1"/>
  <c r="O643" i="1" s="1"/>
  <c r="K644" i="1"/>
  <c r="O644" i="1" s="1"/>
  <c r="K645" i="1"/>
  <c r="O645" i="1" s="1"/>
  <c r="K646" i="1"/>
  <c r="O646" i="1" s="1"/>
  <c r="K647" i="1"/>
  <c r="O647" i="1" s="1"/>
  <c r="K648" i="1"/>
  <c r="O648" i="1" s="1"/>
  <c r="K649" i="1"/>
  <c r="O649" i="1" s="1"/>
  <c r="K650" i="1"/>
  <c r="O650" i="1" s="1"/>
  <c r="K651" i="1"/>
  <c r="O651" i="1" s="1"/>
  <c r="K652" i="1"/>
  <c r="O652" i="1" s="1"/>
  <c r="K653" i="1"/>
  <c r="O653" i="1" s="1"/>
  <c r="K654" i="1"/>
  <c r="O654" i="1" s="1"/>
  <c r="K655" i="1"/>
  <c r="O655" i="1" s="1"/>
  <c r="K656" i="1"/>
  <c r="O656" i="1" s="1"/>
  <c r="K657" i="1"/>
  <c r="O657" i="1" s="1"/>
  <c r="K658" i="1"/>
  <c r="O658" i="1" s="1"/>
  <c r="K659" i="1"/>
  <c r="O659" i="1" s="1"/>
  <c r="K660" i="1"/>
  <c r="O660" i="1" s="1"/>
  <c r="K661" i="1"/>
  <c r="O661" i="1" s="1"/>
  <c r="K662" i="1"/>
  <c r="O662" i="1" s="1"/>
  <c r="K663" i="1"/>
  <c r="O663" i="1" s="1"/>
  <c r="K664" i="1"/>
  <c r="O664" i="1" s="1"/>
  <c r="K665" i="1"/>
  <c r="O665" i="1" s="1"/>
  <c r="K666" i="1"/>
  <c r="O666" i="1" s="1"/>
  <c r="K667" i="1"/>
  <c r="O667" i="1" s="1"/>
  <c r="K668" i="1"/>
  <c r="O668" i="1" s="1"/>
  <c r="K669" i="1"/>
  <c r="O669" i="1" s="1"/>
  <c r="K670" i="1"/>
  <c r="O670" i="1" s="1"/>
  <c r="K671" i="1"/>
  <c r="O671" i="1" s="1"/>
  <c r="K672" i="1"/>
  <c r="O672" i="1" s="1"/>
  <c r="K673" i="1"/>
  <c r="O673" i="1" s="1"/>
  <c r="K674" i="1"/>
  <c r="O674" i="1" s="1"/>
  <c r="K675" i="1"/>
  <c r="O675" i="1" s="1"/>
  <c r="K676" i="1"/>
  <c r="O676" i="1" s="1"/>
  <c r="K677" i="1"/>
  <c r="O677" i="1" s="1"/>
  <c r="K678" i="1"/>
  <c r="O678" i="1" s="1"/>
  <c r="K679" i="1"/>
  <c r="O679" i="1" s="1"/>
  <c r="K680" i="1"/>
  <c r="O680" i="1" s="1"/>
  <c r="K681" i="1"/>
  <c r="O681" i="1" s="1"/>
  <c r="K682" i="1"/>
  <c r="O682" i="1" s="1"/>
  <c r="K683" i="1"/>
  <c r="O683" i="1" s="1"/>
  <c r="K684" i="1"/>
  <c r="O684" i="1" s="1"/>
  <c r="K685" i="1"/>
  <c r="O685" i="1" s="1"/>
  <c r="K686" i="1"/>
  <c r="O686" i="1" s="1"/>
  <c r="K687" i="1"/>
  <c r="O687" i="1" s="1"/>
  <c r="K688" i="1"/>
  <c r="O688" i="1" s="1"/>
  <c r="K689" i="1"/>
  <c r="O689" i="1" s="1"/>
  <c r="K690" i="1"/>
  <c r="O690" i="1" s="1"/>
  <c r="K691" i="1"/>
  <c r="O691" i="1" s="1"/>
  <c r="K692" i="1"/>
  <c r="O692" i="1" s="1"/>
  <c r="K693" i="1"/>
  <c r="O693" i="1" s="1"/>
  <c r="K694" i="1"/>
  <c r="O694" i="1" s="1"/>
  <c r="K695" i="1"/>
  <c r="O695" i="1" s="1"/>
  <c r="K696" i="1"/>
  <c r="O696" i="1" s="1"/>
  <c r="K697" i="1"/>
  <c r="O697" i="1" s="1"/>
  <c r="K698" i="1"/>
  <c r="O698" i="1" s="1"/>
  <c r="K699" i="1"/>
  <c r="O699" i="1" s="1"/>
  <c r="K700" i="1"/>
  <c r="O700" i="1" s="1"/>
  <c r="K701" i="1"/>
  <c r="O701" i="1" s="1"/>
  <c r="K702" i="1"/>
  <c r="O702" i="1" s="1"/>
  <c r="K703" i="1"/>
  <c r="O703" i="1" s="1"/>
  <c r="K704" i="1"/>
  <c r="O704" i="1" s="1"/>
  <c r="K705" i="1"/>
  <c r="O705" i="1" s="1"/>
  <c r="K706" i="1"/>
  <c r="O706" i="1" s="1"/>
  <c r="K707" i="1"/>
  <c r="O707" i="1" s="1"/>
  <c r="K708" i="1"/>
  <c r="O708" i="1" s="1"/>
  <c r="K709" i="1"/>
  <c r="O709" i="1" s="1"/>
  <c r="K710" i="1"/>
  <c r="O710" i="1" s="1"/>
  <c r="K711" i="1"/>
  <c r="O711" i="1" s="1"/>
  <c r="K712" i="1"/>
  <c r="O712" i="1" s="1"/>
  <c r="K713" i="1"/>
  <c r="O713" i="1" s="1"/>
  <c r="K714" i="1"/>
  <c r="O714" i="1" s="1"/>
  <c r="K715" i="1"/>
  <c r="O715" i="1" s="1"/>
  <c r="K716" i="1"/>
  <c r="O716" i="1" s="1"/>
  <c r="K717" i="1"/>
  <c r="O717" i="1" s="1"/>
  <c r="K718" i="1"/>
  <c r="O718" i="1" s="1"/>
  <c r="K719" i="1"/>
  <c r="O719" i="1" s="1"/>
  <c r="K720" i="1"/>
  <c r="O720" i="1" s="1"/>
  <c r="K721" i="1"/>
  <c r="O721" i="1" s="1"/>
  <c r="K722" i="1"/>
  <c r="O722" i="1" s="1"/>
  <c r="K723" i="1"/>
  <c r="O723" i="1" s="1"/>
  <c r="K724" i="1"/>
  <c r="O724" i="1" s="1"/>
  <c r="K725" i="1"/>
  <c r="O725" i="1" s="1"/>
  <c r="K726" i="1"/>
  <c r="O726" i="1" s="1"/>
  <c r="K727" i="1"/>
  <c r="O727" i="1" s="1"/>
  <c r="K728" i="1"/>
  <c r="O728" i="1" s="1"/>
  <c r="K729" i="1"/>
  <c r="O729" i="1" s="1"/>
  <c r="K730" i="1"/>
  <c r="O730" i="1" s="1"/>
  <c r="K731" i="1"/>
  <c r="O731" i="1" s="1"/>
  <c r="K732" i="1"/>
  <c r="O732" i="1" s="1"/>
  <c r="K733" i="1"/>
  <c r="O733" i="1" s="1"/>
  <c r="K734" i="1"/>
  <c r="O734" i="1" s="1"/>
  <c r="K735" i="1"/>
  <c r="O735" i="1" s="1"/>
  <c r="K736" i="1"/>
  <c r="O736" i="1" s="1"/>
  <c r="K737" i="1"/>
  <c r="O737" i="1" s="1"/>
  <c r="K738" i="1"/>
  <c r="O738" i="1" s="1"/>
  <c r="K739" i="1"/>
  <c r="O739" i="1" s="1"/>
  <c r="K740" i="1"/>
  <c r="O740" i="1" s="1"/>
  <c r="K741" i="1"/>
  <c r="O741" i="1" s="1"/>
  <c r="K742" i="1"/>
  <c r="O742" i="1" s="1"/>
  <c r="K743" i="1"/>
  <c r="O743" i="1" s="1"/>
  <c r="K744" i="1"/>
  <c r="O744" i="1" s="1"/>
  <c r="K745" i="1"/>
  <c r="O745" i="1" s="1"/>
  <c r="K746" i="1"/>
  <c r="O746" i="1" s="1"/>
  <c r="K747" i="1"/>
  <c r="O747" i="1" s="1"/>
  <c r="K748" i="1"/>
  <c r="O748" i="1" s="1"/>
  <c r="K749" i="1"/>
  <c r="O749" i="1" s="1"/>
  <c r="K750" i="1"/>
  <c r="O750" i="1" s="1"/>
  <c r="K751" i="1"/>
  <c r="O751" i="1" s="1"/>
  <c r="K752" i="1"/>
  <c r="O752" i="1" s="1"/>
  <c r="K753" i="1"/>
  <c r="O753" i="1" s="1"/>
  <c r="K754" i="1"/>
  <c r="O754" i="1" s="1"/>
  <c r="K755" i="1"/>
  <c r="O755" i="1" s="1"/>
  <c r="K756" i="1"/>
  <c r="O756" i="1" s="1"/>
  <c r="K757" i="1"/>
  <c r="O757" i="1" s="1"/>
  <c r="K758" i="1"/>
  <c r="O758" i="1" s="1"/>
  <c r="K759" i="1"/>
  <c r="O759" i="1" s="1"/>
  <c r="K760" i="1"/>
  <c r="O760" i="1" s="1"/>
  <c r="K761" i="1"/>
  <c r="O761" i="1" s="1"/>
  <c r="K762" i="1"/>
  <c r="O762" i="1" s="1"/>
  <c r="K763" i="1"/>
  <c r="O763" i="1" s="1"/>
  <c r="K764" i="1"/>
  <c r="O764" i="1" s="1"/>
  <c r="K765" i="1"/>
  <c r="O765" i="1" s="1"/>
  <c r="K766" i="1"/>
  <c r="O766" i="1" s="1"/>
  <c r="K767" i="1"/>
  <c r="O767" i="1" s="1"/>
  <c r="K768" i="1"/>
  <c r="O768" i="1" s="1"/>
  <c r="K769" i="1"/>
  <c r="O769" i="1" s="1"/>
  <c r="K770" i="1"/>
  <c r="O770" i="1" s="1"/>
  <c r="K771" i="1"/>
  <c r="O771" i="1" s="1"/>
  <c r="K772" i="1"/>
  <c r="O772" i="1" s="1"/>
  <c r="K773" i="1"/>
  <c r="O773" i="1" s="1"/>
  <c r="K774" i="1"/>
  <c r="O774" i="1" s="1"/>
  <c r="K775" i="1"/>
  <c r="O775" i="1" s="1"/>
  <c r="K776" i="1"/>
  <c r="O776" i="1" s="1"/>
  <c r="K777" i="1"/>
  <c r="O777" i="1" s="1"/>
  <c r="K778" i="1"/>
  <c r="O778" i="1" s="1"/>
  <c r="K779" i="1"/>
  <c r="O779" i="1" s="1"/>
  <c r="K780" i="1"/>
  <c r="O780" i="1" s="1"/>
  <c r="K781" i="1"/>
  <c r="O781" i="1" s="1"/>
  <c r="K782" i="1"/>
  <c r="O782" i="1" s="1"/>
  <c r="K783" i="1"/>
  <c r="O783" i="1" s="1"/>
  <c r="K784" i="1"/>
  <c r="O784" i="1" s="1"/>
  <c r="K785" i="1"/>
  <c r="O785" i="1" s="1"/>
  <c r="K786" i="1"/>
  <c r="O786" i="1" s="1"/>
  <c r="K787" i="1"/>
  <c r="O787" i="1" s="1"/>
  <c r="K788" i="1"/>
  <c r="O788" i="1" s="1"/>
  <c r="K789" i="1"/>
  <c r="O789" i="1" s="1"/>
  <c r="K790" i="1"/>
  <c r="O790" i="1" s="1"/>
  <c r="K791" i="1"/>
  <c r="O791" i="1" s="1"/>
  <c r="K792" i="1"/>
  <c r="O792" i="1" s="1"/>
  <c r="K793" i="1"/>
  <c r="O793" i="1" s="1"/>
  <c r="K794" i="1"/>
  <c r="O794" i="1" s="1"/>
  <c r="K795" i="1"/>
  <c r="O795" i="1" s="1"/>
  <c r="K796" i="1"/>
  <c r="O796" i="1" s="1"/>
  <c r="K797" i="1"/>
  <c r="O797" i="1" s="1"/>
  <c r="K798" i="1"/>
  <c r="O798" i="1" s="1"/>
  <c r="K799" i="1"/>
  <c r="O799" i="1" s="1"/>
  <c r="K800" i="1"/>
  <c r="O800" i="1" s="1"/>
  <c r="K801" i="1"/>
  <c r="O801" i="1" s="1"/>
  <c r="K802" i="1"/>
  <c r="O802" i="1" s="1"/>
  <c r="K803" i="1"/>
  <c r="O803" i="1" s="1"/>
  <c r="K804" i="1"/>
  <c r="O804" i="1" s="1"/>
  <c r="K805" i="1"/>
  <c r="O805" i="1" s="1"/>
  <c r="K806" i="1"/>
  <c r="O806" i="1" s="1"/>
  <c r="K807" i="1"/>
  <c r="O807" i="1" s="1"/>
  <c r="K808" i="1"/>
  <c r="O808" i="1" s="1"/>
  <c r="K809" i="1"/>
  <c r="O809" i="1" s="1"/>
  <c r="K810" i="1"/>
  <c r="O810" i="1" s="1"/>
  <c r="K811" i="1"/>
  <c r="O811" i="1" s="1"/>
  <c r="K812" i="1"/>
  <c r="O812" i="1" s="1"/>
  <c r="K813" i="1"/>
  <c r="O813" i="1" s="1"/>
  <c r="K814" i="1"/>
  <c r="O814" i="1" s="1"/>
  <c r="K815" i="1"/>
  <c r="O815" i="1" s="1"/>
  <c r="K816" i="1"/>
  <c r="O816" i="1" s="1"/>
  <c r="K817" i="1"/>
  <c r="O817" i="1" s="1"/>
  <c r="K818" i="1"/>
  <c r="O818" i="1" s="1"/>
  <c r="K819" i="1"/>
  <c r="O819" i="1" s="1"/>
  <c r="K820" i="1"/>
  <c r="O820" i="1" s="1"/>
  <c r="K821" i="1"/>
  <c r="O821" i="1" s="1"/>
  <c r="K822" i="1"/>
  <c r="O822" i="1" s="1"/>
  <c r="K823" i="1"/>
  <c r="O823" i="1" s="1"/>
  <c r="K824" i="1"/>
  <c r="O824" i="1" s="1"/>
  <c r="K825" i="1"/>
  <c r="O825" i="1" s="1"/>
  <c r="K826" i="1"/>
  <c r="O826" i="1" s="1"/>
  <c r="K827" i="1"/>
  <c r="O827" i="1" s="1"/>
  <c r="K828" i="1"/>
  <c r="O828" i="1" s="1"/>
  <c r="K829" i="1"/>
  <c r="O829" i="1" s="1"/>
  <c r="K830" i="1"/>
  <c r="O830" i="1" s="1"/>
  <c r="K831" i="1"/>
  <c r="O831" i="1" s="1"/>
  <c r="K832" i="1"/>
  <c r="O832" i="1" s="1"/>
  <c r="K833" i="1"/>
  <c r="O833" i="1" s="1"/>
  <c r="K834" i="1"/>
  <c r="O834" i="1" s="1"/>
  <c r="K835" i="1"/>
  <c r="O835" i="1" s="1"/>
  <c r="K836" i="1"/>
  <c r="O836" i="1" s="1"/>
  <c r="K837" i="1"/>
  <c r="O837" i="1" s="1"/>
  <c r="K838" i="1"/>
  <c r="O838" i="1" s="1"/>
  <c r="K839" i="1"/>
  <c r="O839" i="1" s="1"/>
  <c r="K840" i="1"/>
  <c r="O840" i="1" s="1"/>
  <c r="K841" i="1"/>
  <c r="O841" i="1" s="1"/>
  <c r="K842" i="1"/>
  <c r="O842" i="1" s="1"/>
  <c r="K843" i="1"/>
  <c r="O843" i="1" s="1"/>
  <c r="K844" i="1"/>
  <c r="O844" i="1" s="1"/>
  <c r="K845" i="1"/>
  <c r="O845" i="1" s="1"/>
  <c r="K846" i="1"/>
  <c r="O846" i="1" s="1"/>
  <c r="K847" i="1"/>
  <c r="O847" i="1" s="1"/>
  <c r="K848" i="1"/>
  <c r="O848" i="1" s="1"/>
  <c r="K849" i="1"/>
  <c r="O849" i="1" s="1"/>
  <c r="K850" i="1"/>
  <c r="O850" i="1" s="1"/>
  <c r="K851" i="1"/>
  <c r="O851" i="1" s="1"/>
  <c r="K852" i="1"/>
  <c r="O852" i="1" s="1"/>
  <c r="K853" i="1"/>
  <c r="O853" i="1" s="1"/>
  <c r="K854" i="1"/>
  <c r="O854" i="1" s="1"/>
  <c r="K855" i="1"/>
  <c r="O855" i="1" s="1"/>
  <c r="K856" i="1"/>
  <c r="O856" i="1" s="1"/>
  <c r="K857" i="1"/>
  <c r="O857" i="1" s="1"/>
  <c r="K858" i="1"/>
  <c r="O858" i="1" s="1"/>
  <c r="K859" i="1"/>
  <c r="O859" i="1" s="1"/>
  <c r="K860" i="1"/>
  <c r="O860" i="1" s="1"/>
  <c r="K861" i="1"/>
  <c r="O861" i="1" s="1"/>
  <c r="K862" i="1"/>
  <c r="O862" i="1" s="1"/>
  <c r="K863" i="1"/>
  <c r="O863" i="1" s="1"/>
  <c r="K864" i="1"/>
  <c r="O864" i="1" s="1"/>
  <c r="K865" i="1"/>
  <c r="O865" i="1" s="1"/>
  <c r="K866" i="1"/>
  <c r="O866" i="1" s="1"/>
  <c r="K867" i="1"/>
  <c r="O867" i="1" s="1"/>
  <c r="K868" i="1"/>
  <c r="O868" i="1" s="1"/>
  <c r="K869" i="1"/>
  <c r="O869" i="1" s="1"/>
  <c r="K870" i="1"/>
  <c r="O870" i="1" s="1"/>
  <c r="K871" i="1"/>
  <c r="O871" i="1" s="1"/>
  <c r="K872" i="1"/>
  <c r="O872" i="1" s="1"/>
  <c r="K873" i="1"/>
  <c r="O873" i="1" s="1"/>
  <c r="K874" i="1"/>
  <c r="O874" i="1" s="1"/>
  <c r="K875" i="1"/>
  <c r="O875" i="1" s="1"/>
  <c r="K876" i="1"/>
  <c r="O876" i="1" s="1"/>
  <c r="K877" i="1"/>
  <c r="O877" i="1" s="1"/>
  <c r="K878" i="1"/>
  <c r="O878" i="1" s="1"/>
  <c r="K879" i="1"/>
  <c r="O879" i="1" s="1"/>
  <c r="K880" i="1"/>
  <c r="O880" i="1" s="1"/>
  <c r="K881" i="1"/>
  <c r="O881" i="1" s="1"/>
  <c r="K882" i="1"/>
  <c r="O882" i="1" s="1"/>
  <c r="K883" i="1"/>
  <c r="O883" i="1" s="1"/>
  <c r="K884" i="1"/>
  <c r="O884" i="1" s="1"/>
  <c r="K885" i="1"/>
  <c r="O885" i="1" s="1"/>
  <c r="K886" i="1"/>
  <c r="O886" i="1" s="1"/>
  <c r="K887" i="1"/>
  <c r="O887" i="1" s="1"/>
  <c r="K888" i="1"/>
  <c r="O888" i="1" s="1"/>
  <c r="K889" i="1"/>
  <c r="O889" i="1" s="1"/>
  <c r="K890" i="1"/>
  <c r="O890" i="1" s="1"/>
  <c r="K891" i="1"/>
  <c r="O891" i="1" s="1"/>
  <c r="K892" i="1"/>
  <c r="O892" i="1" s="1"/>
  <c r="K893" i="1"/>
  <c r="O893" i="1" s="1"/>
  <c r="K894" i="1"/>
  <c r="O894" i="1" s="1"/>
  <c r="K895" i="1"/>
  <c r="O895" i="1" s="1"/>
  <c r="K896" i="1"/>
  <c r="O896" i="1" s="1"/>
  <c r="K897" i="1"/>
  <c r="O897" i="1" s="1"/>
  <c r="K898" i="1"/>
  <c r="O898" i="1" s="1"/>
  <c r="K899" i="1"/>
  <c r="O899" i="1" s="1"/>
  <c r="K900" i="1"/>
  <c r="O900" i="1" s="1"/>
  <c r="K901" i="1"/>
  <c r="O901" i="1" s="1"/>
  <c r="K902" i="1"/>
  <c r="O902" i="1" s="1"/>
  <c r="K903" i="1"/>
  <c r="O903" i="1" s="1"/>
  <c r="K904" i="1"/>
  <c r="O904" i="1" s="1"/>
  <c r="K905" i="1"/>
  <c r="O905" i="1" s="1"/>
  <c r="K906" i="1"/>
  <c r="O906" i="1" s="1"/>
  <c r="K907" i="1"/>
  <c r="O907" i="1" s="1"/>
  <c r="K908" i="1"/>
  <c r="O908" i="1" s="1"/>
  <c r="K909" i="1"/>
  <c r="O909" i="1" s="1"/>
  <c r="K910" i="1"/>
  <c r="O910" i="1" s="1"/>
  <c r="K911" i="1"/>
  <c r="O911" i="1" s="1"/>
  <c r="K912" i="1"/>
  <c r="O912" i="1" s="1"/>
  <c r="K913" i="1"/>
  <c r="O913" i="1" s="1"/>
  <c r="K914" i="1"/>
  <c r="O914" i="1" s="1"/>
  <c r="K915" i="1"/>
  <c r="O915" i="1" s="1"/>
  <c r="K916" i="1"/>
  <c r="O916" i="1" s="1"/>
  <c r="K917" i="1"/>
  <c r="O917" i="1" s="1"/>
  <c r="K918" i="1"/>
  <c r="O918" i="1" s="1"/>
  <c r="K919" i="1"/>
  <c r="O919" i="1" s="1"/>
  <c r="K920" i="1"/>
  <c r="O920" i="1" s="1"/>
  <c r="K921" i="1"/>
  <c r="O921" i="1" s="1"/>
  <c r="K922" i="1"/>
  <c r="O922" i="1" s="1"/>
  <c r="K923" i="1"/>
  <c r="O923" i="1" s="1"/>
  <c r="K924" i="1"/>
  <c r="O924" i="1" s="1"/>
  <c r="K925" i="1"/>
  <c r="O925" i="1" s="1"/>
  <c r="K926" i="1"/>
  <c r="O926" i="1" s="1"/>
  <c r="K927" i="1"/>
  <c r="O927" i="1" s="1"/>
  <c r="K928" i="1"/>
  <c r="O928" i="1" s="1"/>
  <c r="K929" i="1"/>
  <c r="O929" i="1" s="1"/>
  <c r="K930" i="1"/>
  <c r="O930" i="1" s="1"/>
  <c r="K931" i="1"/>
  <c r="O931" i="1" s="1"/>
  <c r="K932" i="1"/>
  <c r="O932" i="1" s="1"/>
  <c r="K933" i="1"/>
  <c r="O933" i="1" s="1"/>
  <c r="K934" i="1"/>
  <c r="O934" i="1" s="1"/>
  <c r="K935" i="1"/>
  <c r="O935" i="1" s="1"/>
  <c r="K936" i="1"/>
  <c r="O936" i="1" s="1"/>
  <c r="K937" i="1"/>
  <c r="O937" i="1" s="1"/>
  <c r="K938" i="1"/>
  <c r="O938" i="1" s="1"/>
  <c r="K939" i="1"/>
  <c r="O939" i="1" s="1"/>
  <c r="K940" i="1"/>
  <c r="O940" i="1" s="1"/>
  <c r="K941" i="1"/>
  <c r="O941" i="1" s="1"/>
  <c r="K942" i="1"/>
  <c r="O942" i="1" s="1"/>
  <c r="K943" i="1"/>
  <c r="O943" i="1" s="1"/>
  <c r="K944" i="1"/>
  <c r="O944" i="1" s="1"/>
  <c r="K945" i="1"/>
  <c r="O945" i="1" s="1"/>
  <c r="K946" i="1"/>
  <c r="O946" i="1" s="1"/>
  <c r="K947" i="1"/>
  <c r="O947" i="1" s="1"/>
  <c r="K948" i="1"/>
  <c r="O948" i="1" s="1"/>
  <c r="K949" i="1"/>
  <c r="O949" i="1" s="1"/>
  <c r="K950" i="1"/>
  <c r="O950" i="1" s="1"/>
  <c r="K951" i="1"/>
  <c r="O951" i="1" s="1"/>
  <c r="K952" i="1"/>
  <c r="O952" i="1" s="1"/>
  <c r="K953" i="1"/>
  <c r="O953" i="1" s="1"/>
  <c r="K954" i="1"/>
  <c r="O954" i="1" s="1"/>
  <c r="K955" i="1"/>
  <c r="O955" i="1" s="1"/>
  <c r="K956" i="1"/>
  <c r="O956" i="1" s="1"/>
  <c r="K957" i="1"/>
  <c r="O957" i="1" s="1"/>
  <c r="K958" i="1"/>
  <c r="O958" i="1" s="1"/>
  <c r="K959" i="1"/>
  <c r="O959" i="1" s="1"/>
  <c r="K960" i="1"/>
  <c r="O960" i="1" s="1"/>
  <c r="K961" i="1"/>
  <c r="O961" i="1" s="1"/>
  <c r="K962" i="1"/>
  <c r="O962" i="1" s="1"/>
  <c r="K963" i="1"/>
  <c r="O963" i="1" s="1"/>
  <c r="K964" i="1"/>
  <c r="O964" i="1" s="1"/>
  <c r="K965" i="1"/>
  <c r="O965" i="1" s="1"/>
  <c r="K966" i="1"/>
  <c r="O966" i="1" s="1"/>
  <c r="K967" i="1"/>
  <c r="O967" i="1" s="1"/>
  <c r="K968" i="1"/>
  <c r="O968" i="1" s="1"/>
  <c r="K969" i="1"/>
  <c r="O969" i="1" s="1"/>
  <c r="K970" i="1"/>
  <c r="O970" i="1" s="1"/>
  <c r="K971" i="1"/>
  <c r="O971" i="1" s="1"/>
  <c r="K972" i="1"/>
  <c r="O972" i="1" s="1"/>
  <c r="K973" i="1"/>
  <c r="O973" i="1" s="1"/>
  <c r="K974" i="1"/>
  <c r="O974" i="1" s="1"/>
  <c r="K975" i="1"/>
  <c r="O975" i="1" s="1"/>
  <c r="K976" i="1"/>
  <c r="O976" i="1" s="1"/>
  <c r="K977" i="1"/>
  <c r="O977" i="1" s="1"/>
  <c r="K978" i="1"/>
  <c r="O978" i="1" s="1"/>
  <c r="K979" i="1"/>
  <c r="O979" i="1" s="1"/>
  <c r="K980" i="1"/>
  <c r="O980" i="1" s="1"/>
  <c r="K981" i="1"/>
  <c r="O981" i="1" s="1"/>
  <c r="K982" i="1"/>
  <c r="O982" i="1" s="1"/>
  <c r="K983" i="1"/>
  <c r="O983" i="1" s="1"/>
  <c r="K984" i="1"/>
  <c r="O984" i="1" s="1"/>
  <c r="K985" i="1"/>
  <c r="O985" i="1" s="1"/>
  <c r="K986" i="1"/>
  <c r="O986" i="1" s="1"/>
  <c r="K987" i="1"/>
  <c r="O987" i="1" s="1"/>
  <c r="K988" i="1"/>
  <c r="O988" i="1" s="1"/>
  <c r="K989" i="1"/>
  <c r="O989" i="1" s="1"/>
  <c r="K990" i="1"/>
  <c r="O990" i="1" s="1"/>
  <c r="K991" i="1"/>
  <c r="O991" i="1" s="1"/>
  <c r="K992" i="1"/>
  <c r="O992" i="1" s="1"/>
  <c r="K993" i="1"/>
  <c r="O993" i="1" s="1"/>
  <c r="K994" i="1"/>
  <c r="O994" i="1" s="1"/>
  <c r="K995" i="1"/>
  <c r="O995" i="1" s="1"/>
  <c r="K996" i="1"/>
  <c r="O996" i="1" s="1"/>
  <c r="K997" i="1"/>
  <c r="O997" i="1" s="1"/>
  <c r="K998" i="1"/>
  <c r="O998" i="1" s="1"/>
  <c r="K999" i="1"/>
  <c r="O999" i="1" s="1"/>
  <c r="K1000" i="1"/>
  <c r="O1000" i="1" s="1"/>
  <c r="K1001" i="1"/>
  <c r="O1001" i="1" s="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P3" i="1" l="1"/>
</calcChain>
</file>

<file path=xl/sharedStrings.xml><?xml version="1.0" encoding="utf-8"?>
<sst xmlns="http://schemas.openxmlformats.org/spreadsheetml/2006/main" count="6102" uniqueCount="1423">
  <si>
    <t>Order_ID</t>
  </si>
  <si>
    <t>Order_Date</t>
  </si>
  <si>
    <t>Customer_ID</t>
  </si>
  <si>
    <t>Product_ID</t>
  </si>
  <si>
    <t>Region</t>
  </si>
  <si>
    <t>Sales_Rep</t>
  </si>
  <si>
    <t>Quantity</t>
  </si>
  <si>
    <t>Unit_Price</t>
  </si>
  <si>
    <t>ORD0001</t>
  </si>
  <si>
    <t>26-01-2024</t>
  </si>
  <si>
    <t>C104</t>
  </si>
  <si>
    <t>P205</t>
  </si>
  <si>
    <t>North</t>
  </si>
  <si>
    <t>Anjali</t>
  </si>
  <si>
    <t>ORD0002</t>
  </si>
  <si>
    <t>02-09-2024</t>
  </si>
  <si>
    <t>P202</t>
  </si>
  <si>
    <t>South</t>
  </si>
  <si>
    <t>Priya</t>
  </si>
  <si>
    <t>ORD0003</t>
  </si>
  <si>
    <t>29-04-2024</t>
  </si>
  <si>
    <t>C105</t>
  </si>
  <si>
    <t>P204</t>
  </si>
  <si>
    <t>Karthik</t>
  </si>
  <si>
    <t>ORD0004</t>
  </si>
  <si>
    <t>13-10-2024</t>
  </si>
  <si>
    <t>P201</t>
  </si>
  <si>
    <t>West</t>
  </si>
  <si>
    <t>ORD0005</t>
  </si>
  <si>
    <t>27-11-2024</t>
  </si>
  <si>
    <t>C101</t>
  </si>
  <si>
    <t>ORD0006</t>
  </si>
  <si>
    <t>23-11-2024</t>
  </si>
  <si>
    <t>East</t>
  </si>
  <si>
    <t>Ravi</t>
  </si>
  <si>
    <t>ORD0007</t>
  </si>
  <si>
    <t>16-11-2024</t>
  </si>
  <si>
    <t>P203</t>
  </si>
  <si>
    <t>ORD0008</t>
  </si>
  <si>
    <t>09-05-2024</t>
  </si>
  <si>
    <t>ORD0009</t>
  </si>
  <si>
    <t>09-04-2024</t>
  </si>
  <si>
    <t>C103</t>
  </si>
  <si>
    <t>ORD0010</t>
  </si>
  <si>
    <t>06-09-2024</t>
  </si>
  <si>
    <t>C102</t>
  </si>
  <si>
    <t>ORD0011</t>
  </si>
  <si>
    <t>26-12-2024</t>
  </si>
  <si>
    <t>ORD0012</t>
  </si>
  <si>
    <t>07-10-2024</t>
  </si>
  <si>
    <t>ORD0013</t>
  </si>
  <si>
    <t>22-08-2024</t>
  </si>
  <si>
    <t>ORD0014</t>
  </si>
  <si>
    <t>24-07-2024</t>
  </si>
  <si>
    <t>ORD0015</t>
  </si>
  <si>
    <t>22-02-2024</t>
  </si>
  <si>
    <t>ORD0016</t>
  </si>
  <si>
    <t>08-05-2024</t>
  </si>
  <si>
    <t>ORD0017</t>
  </si>
  <si>
    <t>ORD0018</t>
  </si>
  <si>
    <t>28-08-2024</t>
  </si>
  <si>
    <t>ORD0019</t>
  </si>
  <si>
    <t>14-01-2024</t>
  </si>
  <si>
    <t>ORD0020</t>
  </si>
  <si>
    <t>04-11-2024</t>
  </si>
  <si>
    <t>ORD0021</t>
  </si>
  <si>
    <t>26-04-2024</t>
  </si>
  <si>
    <t>ORD0022</t>
  </si>
  <si>
    <t>27-12-2024</t>
  </si>
  <si>
    <t>ORD0023</t>
  </si>
  <si>
    <t>29-03-2024</t>
  </si>
  <si>
    <t>ORD0024</t>
  </si>
  <si>
    <t>13-03-2024</t>
  </si>
  <si>
    <t>ORD0025</t>
  </si>
  <si>
    <t>03-09-2024</t>
  </si>
  <si>
    <t>ORD0026</t>
  </si>
  <si>
    <t>28-01-2024</t>
  </si>
  <si>
    <t>ORD0027</t>
  </si>
  <si>
    <t>22-12-2024</t>
  </si>
  <si>
    <t>ORD0028</t>
  </si>
  <si>
    <t>20-12-2024</t>
  </si>
  <si>
    <t>ORD0029</t>
  </si>
  <si>
    <t>04-01-2024</t>
  </si>
  <si>
    <t>ORD0030</t>
  </si>
  <si>
    <t>03-11-2024</t>
  </si>
  <si>
    <t>ORD0031</t>
  </si>
  <si>
    <t>26-02-2024</t>
  </si>
  <si>
    <t>ORD0032</t>
  </si>
  <si>
    <t>27-07-2024</t>
  </si>
  <si>
    <t>ORD0033</t>
  </si>
  <si>
    <t>11-12-2024</t>
  </si>
  <si>
    <t>ORD0034</t>
  </si>
  <si>
    <t>26-10-2024</t>
  </si>
  <si>
    <t>ORD0035</t>
  </si>
  <si>
    <t>08-02-2024</t>
  </si>
  <si>
    <t>ORD0036</t>
  </si>
  <si>
    <t>06-01-2024</t>
  </si>
  <si>
    <t>ORD0037</t>
  </si>
  <si>
    <t>13-11-2024</t>
  </si>
  <si>
    <t>ORD0038</t>
  </si>
  <si>
    <t>01-11-2024</t>
  </si>
  <si>
    <t>ORD0039</t>
  </si>
  <si>
    <t>04-05-2024</t>
  </si>
  <si>
    <t>ORD0040</t>
  </si>
  <si>
    <t>06-10-2024</t>
  </si>
  <si>
    <t>ORD0041</t>
  </si>
  <si>
    <t>ORD0042</t>
  </si>
  <si>
    <t>06-07-2024</t>
  </si>
  <si>
    <t>ORD0043</t>
  </si>
  <si>
    <t>23-05-2024</t>
  </si>
  <si>
    <t>ORD0044</t>
  </si>
  <si>
    <t>09-10-2024</t>
  </si>
  <si>
    <t>ORD0045</t>
  </si>
  <si>
    <t>30-06-2024</t>
  </si>
  <si>
    <t>ORD0046</t>
  </si>
  <si>
    <t>12-08-2024</t>
  </si>
  <si>
    <t>ORD0047</t>
  </si>
  <si>
    <t>20-11-2024</t>
  </si>
  <si>
    <t>ORD0048</t>
  </si>
  <si>
    <t>08-01-2024</t>
  </si>
  <si>
    <t>ORD0049</t>
  </si>
  <si>
    <t>21-11-2024</t>
  </si>
  <si>
    <t>ORD0050</t>
  </si>
  <si>
    <t>ORD0051</t>
  </si>
  <si>
    <t>19-04-2024</t>
  </si>
  <si>
    <t>ORD0052</t>
  </si>
  <si>
    <t>18-11-2024</t>
  </si>
  <si>
    <t>ORD0053</t>
  </si>
  <si>
    <t>21-08-2024</t>
  </si>
  <si>
    <t>ORD0054</t>
  </si>
  <si>
    <t>07-05-2024</t>
  </si>
  <si>
    <t>ORD0055</t>
  </si>
  <si>
    <t>31-05-2024</t>
  </si>
  <si>
    <t>ORD0056</t>
  </si>
  <si>
    <t>ORD0057</t>
  </si>
  <si>
    <t>02-07-2024</t>
  </si>
  <si>
    <t>ORD0058</t>
  </si>
  <si>
    <t>01-10-2024</t>
  </si>
  <si>
    <t>ORD0059</t>
  </si>
  <si>
    <t>16-06-2024</t>
  </si>
  <si>
    <t>ORD0060</t>
  </si>
  <si>
    <t>10-01-2024</t>
  </si>
  <si>
    <t>ORD0061</t>
  </si>
  <si>
    <t>30-05-2024</t>
  </si>
  <si>
    <t>ORD0062</t>
  </si>
  <si>
    <t>13-02-2024</t>
  </si>
  <si>
    <t>ORD0063</t>
  </si>
  <si>
    <t>20-05-2024</t>
  </si>
  <si>
    <t>ORD0064</t>
  </si>
  <si>
    <t>19-01-2024</t>
  </si>
  <si>
    <t>ORD0065</t>
  </si>
  <si>
    <t>15-10-2024</t>
  </si>
  <si>
    <t>ORD0066</t>
  </si>
  <si>
    <t>28-10-2024</t>
  </si>
  <si>
    <t>ORD0067</t>
  </si>
  <si>
    <t>ORD0068</t>
  </si>
  <si>
    <t>21-06-2024</t>
  </si>
  <si>
    <t>ORD0069</t>
  </si>
  <si>
    <t>04-03-2024</t>
  </si>
  <si>
    <t>ORD0070</t>
  </si>
  <si>
    <t>ORD0071</t>
  </si>
  <si>
    <t>04-06-2024</t>
  </si>
  <si>
    <t>ORD0072</t>
  </si>
  <si>
    <t>14-10-2024</t>
  </si>
  <si>
    <t>ORD0073</t>
  </si>
  <si>
    <t>16-02-2024</t>
  </si>
  <si>
    <t>ORD0074</t>
  </si>
  <si>
    <t>19-09-2024</t>
  </si>
  <si>
    <t>ORD0075</t>
  </si>
  <si>
    <t>17-03-2024</t>
  </si>
  <si>
    <t>ORD0076</t>
  </si>
  <si>
    <t>09-08-2024</t>
  </si>
  <si>
    <t>ORD0077</t>
  </si>
  <si>
    <t>24-10-2024</t>
  </si>
  <si>
    <t>ORD0078</t>
  </si>
  <si>
    <t>10-02-2024</t>
  </si>
  <si>
    <t>ORD0079</t>
  </si>
  <si>
    <t>09-01-2024</t>
  </si>
  <si>
    <t>ORD0080</t>
  </si>
  <si>
    <t>06-12-2024</t>
  </si>
  <si>
    <t>ORD0081</t>
  </si>
  <si>
    <t>ORD0082</t>
  </si>
  <si>
    <t>ORD0083</t>
  </si>
  <si>
    <t>13-08-2024</t>
  </si>
  <si>
    <t>ORD0084</t>
  </si>
  <si>
    <t>05-11-2024</t>
  </si>
  <si>
    <t>ORD0085</t>
  </si>
  <si>
    <t>24-02-2024</t>
  </si>
  <si>
    <t>ORD0086</t>
  </si>
  <si>
    <t>05-06-2024</t>
  </si>
  <si>
    <t>ORD0087</t>
  </si>
  <si>
    <t>19-07-2024</t>
  </si>
  <si>
    <t>ORD0088</t>
  </si>
  <si>
    <t>25-09-2024</t>
  </si>
  <si>
    <t>ORD0089</t>
  </si>
  <si>
    <t>25-06-2024</t>
  </si>
  <si>
    <t>ORD0090</t>
  </si>
  <si>
    <t>ORD0091</t>
  </si>
  <si>
    <t>03-06-2024</t>
  </si>
  <si>
    <t>ORD0092</t>
  </si>
  <si>
    <t>21-12-2024</t>
  </si>
  <si>
    <t>ORD0093</t>
  </si>
  <si>
    <t>16-04-2024</t>
  </si>
  <si>
    <t>ORD0094</t>
  </si>
  <si>
    <t>ORD0095</t>
  </si>
  <si>
    <t>14-03-2024</t>
  </si>
  <si>
    <t>ORD0096</t>
  </si>
  <si>
    <t>ORD0097</t>
  </si>
  <si>
    <t>ORD0098</t>
  </si>
  <si>
    <t>09-09-2024</t>
  </si>
  <si>
    <t>ORD0099</t>
  </si>
  <si>
    <t>12-02-2024</t>
  </si>
  <si>
    <t>ORD0100</t>
  </si>
  <si>
    <t>11-09-2024</t>
  </si>
  <si>
    <t>ORD0101</t>
  </si>
  <si>
    <t>24-06-2024</t>
  </si>
  <si>
    <t>ORD0102</t>
  </si>
  <si>
    <t>30-11-2024</t>
  </si>
  <si>
    <t>ORD0103</t>
  </si>
  <si>
    <t>23-06-2024</t>
  </si>
  <si>
    <t>ORD0104</t>
  </si>
  <si>
    <t>24-09-2024</t>
  </si>
  <si>
    <t>ORD0105</t>
  </si>
  <si>
    <t>14-09-2024</t>
  </si>
  <si>
    <t>ORD0106</t>
  </si>
  <si>
    <t>ORD0107</t>
  </si>
  <si>
    <t>12-05-2024</t>
  </si>
  <si>
    <t>ORD0108</t>
  </si>
  <si>
    <t>11-07-2024</t>
  </si>
  <si>
    <t>ORD0109</t>
  </si>
  <si>
    <t>24-01-2024</t>
  </si>
  <si>
    <t>ORD0110</t>
  </si>
  <si>
    <t>ORD0111</t>
  </si>
  <si>
    <t>15-08-2024</t>
  </si>
  <si>
    <t>ORD0112</t>
  </si>
  <si>
    <t>10-12-2024</t>
  </si>
  <si>
    <t>ORD0113</t>
  </si>
  <si>
    <t>14-11-2024</t>
  </si>
  <si>
    <t>ORD0114</t>
  </si>
  <si>
    <t>ORD0115</t>
  </si>
  <si>
    <t>30-12-2024</t>
  </si>
  <si>
    <t>ORD0116</t>
  </si>
  <si>
    <t>28-05-2024</t>
  </si>
  <si>
    <t>ORD0117</t>
  </si>
  <si>
    <t>03-04-2024</t>
  </si>
  <si>
    <t>ORD0118</t>
  </si>
  <si>
    <t>22-07-2024</t>
  </si>
  <si>
    <t>ORD0119</t>
  </si>
  <si>
    <t>15-05-2024</t>
  </si>
  <si>
    <t>ORD0120</t>
  </si>
  <si>
    <t>29-06-2024</t>
  </si>
  <si>
    <t>ORD0121</t>
  </si>
  <si>
    <t>26-09-2024</t>
  </si>
  <si>
    <t>ORD0122</t>
  </si>
  <si>
    <t>ORD0123</t>
  </si>
  <si>
    <t>01-07-2024</t>
  </si>
  <si>
    <t>ORD0124</t>
  </si>
  <si>
    <t>29-05-2024</t>
  </si>
  <si>
    <t>ORD0125</t>
  </si>
  <si>
    <t>23-04-2024</t>
  </si>
  <si>
    <t>ORD0126</t>
  </si>
  <si>
    <t>26-03-2024</t>
  </si>
  <si>
    <t>ORD0127</t>
  </si>
  <si>
    <t>ORD0128</t>
  </si>
  <si>
    <t>ORD0129</t>
  </si>
  <si>
    <t>15-04-2024</t>
  </si>
  <si>
    <t>ORD0130</t>
  </si>
  <si>
    <t>20-03-2024</t>
  </si>
  <si>
    <t>ORD0131</t>
  </si>
  <si>
    <t>02-04-2024</t>
  </si>
  <si>
    <t>ORD0132</t>
  </si>
  <si>
    <t>01-09-2024</t>
  </si>
  <si>
    <t>ORD0133</t>
  </si>
  <si>
    <t>08-06-2024</t>
  </si>
  <si>
    <t>ORD0134</t>
  </si>
  <si>
    <t>29-07-2024</t>
  </si>
  <si>
    <t>ORD0135</t>
  </si>
  <si>
    <t>ORD0136</t>
  </si>
  <si>
    <t>ORD0137</t>
  </si>
  <si>
    <t>ORD0138</t>
  </si>
  <si>
    <t>ORD0139</t>
  </si>
  <si>
    <t>12-04-2024</t>
  </si>
  <si>
    <t>ORD0140</t>
  </si>
  <si>
    <t>12-11-2024</t>
  </si>
  <si>
    <t>ORD0141</t>
  </si>
  <si>
    <t>ORD0142</t>
  </si>
  <si>
    <t>08-03-2024</t>
  </si>
  <si>
    <t>ORD0143</t>
  </si>
  <si>
    <t>06-03-2024</t>
  </si>
  <si>
    <t>ORD0144</t>
  </si>
  <si>
    <t>18-05-2024</t>
  </si>
  <si>
    <t>ORD0145</t>
  </si>
  <si>
    <t>04-10-2024</t>
  </si>
  <si>
    <t>ORD0146</t>
  </si>
  <si>
    <t>20-06-2024</t>
  </si>
  <si>
    <t>ORD0147</t>
  </si>
  <si>
    <t>ORD0148</t>
  </si>
  <si>
    <t>22-09-2024</t>
  </si>
  <si>
    <t>ORD0149</t>
  </si>
  <si>
    <t>30-04-2024</t>
  </si>
  <si>
    <t>ORD0150</t>
  </si>
  <si>
    <t>01-03-2024</t>
  </si>
  <si>
    <t>ORD0151</t>
  </si>
  <si>
    <t>17-07-2024</t>
  </si>
  <si>
    <t>ORD0152</t>
  </si>
  <si>
    <t>28-11-2024</t>
  </si>
  <si>
    <t>ORD0153</t>
  </si>
  <si>
    <t>ORD0154</t>
  </si>
  <si>
    <t>16-05-2024</t>
  </si>
  <si>
    <t>ORD0155</t>
  </si>
  <si>
    <t>ORD0156</t>
  </si>
  <si>
    <t>05-09-2024</t>
  </si>
  <si>
    <t>ORD0157</t>
  </si>
  <si>
    <t>ORD0158</t>
  </si>
  <si>
    <t>ORD0159</t>
  </si>
  <si>
    <t>31-01-2024</t>
  </si>
  <si>
    <t>ORD0160</t>
  </si>
  <si>
    <t>03-10-2024</t>
  </si>
  <si>
    <t>ORD0161</t>
  </si>
  <si>
    <t>04-09-2024</t>
  </si>
  <si>
    <t>ORD0162</t>
  </si>
  <si>
    <t>04-08-2024</t>
  </si>
  <si>
    <t>ORD0163</t>
  </si>
  <si>
    <t>27-06-2024</t>
  </si>
  <si>
    <t>ORD0164</t>
  </si>
  <si>
    <t>16-12-2024</t>
  </si>
  <si>
    <t>ORD0165</t>
  </si>
  <si>
    <t>24-05-2024</t>
  </si>
  <si>
    <t>ORD0166</t>
  </si>
  <si>
    <t>ORD0167</t>
  </si>
  <si>
    <t>ORD0168</t>
  </si>
  <si>
    <t>10-10-2024</t>
  </si>
  <si>
    <t>ORD0169</t>
  </si>
  <si>
    <t>01-12-2024</t>
  </si>
  <si>
    <t>ORD0170</t>
  </si>
  <si>
    <t>22-01-2024</t>
  </si>
  <si>
    <t>ORD0171</t>
  </si>
  <si>
    <t>21-04-2024</t>
  </si>
  <si>
    <t>ORD0172</t>
  </si>
  <si>
    <t>28-06-2024</t>
  </si>
  <si>
    <t>ORD0173</t>
  </si>
  <si>
    <t>27-01-2024</t>
  </si>
  <si>
    <t>ORD0174</t>
  </si>
  <si>
    <t>24-04-2024</t>
  </si>
  <si>
    <t>ORD0175</t>
  </si>
  <si>
    <t>ORD0176</t>
  </si>
  <si>
    <t>23-03-2024</t>
  </si>
  <si>
    <t>ORD0177</t>
  </si>
  <si>
    <t>10-03-2024</t>
  </si>
  <si>
    <t>ORD0178</t>
  </si>
  <si>
    <t>31-07-2024</t>
  </si>
  <si>
    <t>ORD0179</t>
  </si>
  <si>
    <t>25-03-2024</t>
  </si>
  <si>
    <t>ORD0180</t>
  </si>
  <si>
    <t>ORD0181</t>
  </si>
  <si>
    <t>ORD0182</t>
  </si>
  <si>
    <t>ORD0183</t>
  </si>
  <si>
    <t>13-12-2024</t>
  </si>
  <si>
    <t>ORD0184</t>
  </si>
  <si>
    <t>31-12-2024</t>
  </si>
  <si>
    <t>ORD0185</t>
  </si>
  <si>
    <t>03-08-2024</t>
  </si>
  <si>
    <t>ORD0186</t>
  </si>
  <si>
    <t>ORD0187</t>
  </si>
  <si>
    <t>06-08-2024</t>
  </si>
  <si>
    <t>ORD0188</t>
  </si>
  <si>
    <t>07-03-2024</t>
  </si>
  <si>
    <t>ORD0189</t>
  </si>
  <si>
    <t>29-10-2024</t>
  </si>
  <si>
    <t>ORD0190</t>
  </si>
  <si>
    <t>ORD0191</t>
  </si>
  <si>
    <t>03-03-2024</t>
  </si>
  <si>
    <t>ORD0192</t>
  </si>
  <si>
    <t>ORD0193</t>
  </si>
  <si>
    <t>15-11-2024</t>
  </si>
  <si>
    <t>ORD0194</t>
  </si>
  <si>
    <t>05-05-2024</t>
  </si>
  <si>
    <t>ORD0195</t>
  </si>
  <si>
    <t>20-02-2024</t>
  </si>
  <si>
    <t>ORD0196</t>
  </si>
  <si>
    <t>23-01-2024</t>
  </si>
  <si>
    <t>ORD0197</t>
  </si>
  <si>
    <t>27-02-2024</t>
  </si>
  <si>
    <t>ORD0198</t>
  </si>
  <si>
    <t>03-01-2024</t>
  </si>
  <si>
    <t>ORD0199</t>
  </si>
  <si>
    <t>15-02-2024</t>
  </si>
  <si>
    <t>ORD0200</t>
  </si>
  <si>
    <t>ORD0201</t>
  </si>
  <si>
    <t>ORD0202</t>
  </si>
  <si>
    <t>ORD0203</t>
  </si>
  <si>
    <t>17-04-2024</t>
  </si>
  <si>
    <t>ORD0204</t>
  </si>
  <si>
    <t>15-01-2024</t>
  </si>
  <si>
    <t>ORD0205</t>
  </si>
  <si>
    <t>20-01-2024</t>
  </si>
  <si>
    <t>ORD0206</t>
  </si>
  <si>
    <t>25-04-2024</t>
  </si>
  <si>
    <t>ORD0207</t>
  </si>
  <si>
    <t>07-06-2024</t>
  </si>
  <si>
    <t>ORD0208</t>
  </si>
  <si>
    <t>21-09-2024</t>
  </si>
  <si>
    <t>ORD0209</t>
  </si>
  <si>
    <t>23-07-2024</t>
  </si>
  <si>
    <t>ORD0210</t>
  </si>
  <si>
    <t>26-07-2024</t>
  </si>
  <si>
    <t>ORD0211</t>
  </si>
  <si>
    <t>16-03-2024</t>
  </si>
  <si>
    <t>ORD0212</t>
  </si>
  <si>
    <t>11-01-2024</t>
  </si>
  <si>
    <t>ORD0213</t>
  </si>
  <si>
    <t>01-04-2024</t>
  </si>
  <si>
    <t>ORD0214</t>
  </si>
  <si>
    <t>28-02-2024</t>
  </si>
  <si>
    <t>ORD0215</t>
  </si>
  <si>
    <t>02-10-2024</t>
  </si>
  <si>
    <t>ORD0216</t>
  </si>
  <si>
    <t>18-08-2024</t>
  </si>
  <si>
    <t>ORD0217</t>
  </si>
  <si>
    <t>22-05-2024</t>
  </si>
  <si>
    <t>ORD0218</t>
  </si>
  <si>
    <t>03-07-2024</t>
  </si>
  <si>
    <t>ORD0219</t>
  </si>
  <si>
    <t>19-11-2024</t>
  </si>
  <si>
    <t>ORD0220</t>
  </si>
  <si>
    <t>23-09-2024</t>
  </si>
  <si>
    <t>ORD0221</t>
  </si>
  <si>
    <t>18-03-2024</t>
  </si>
  <si>
    <t>ORD0222</t>
  </si>
  <si>
    <t>21-05-2024</t>
  </si>
  <si>
    <t>ORD0223</t>
  </si>
  <si>
    <t>ORD0224</t>
  </si>
  <si>
    <t>15-06-2024</t>
  </si>
  <si>
    <t>ORD0225</t>
  </si>
  <si>
    <t>ORD0226</t>
  </si>
  <si>
    <t>ORD0227</t>
  </si>
  <si>
    <t>ORD0228</t>
  </si>
  <si>
    <t>14-07-2024</t>
  </si>
  <si>
    <t>ORD0229</t>
  </si>
  <si>
    <t>ORD0230</t>
  </si>
  <si>
    <t>ORD0231</t>
  </si>
  <si>
    <t>ORD0232</t>
  </si>
  <si>
    <t>ORD0233</t>
  </si>
  <si>
    <t>ORD0234</t>
  </si>
  <si>
    <t>ORD0235</t>
  </si>
  <si>
    <t>23-12-2024</t>
  </si>
  <si>
    <t>ORD0236</t>
  </si>
  <si>
    <t>09-11-2024</t>
  </si>
  <si>
    <t>ORD0237</t>
  </si>
  <si>
    <t>ORD0238</t>
  </si>
  <si>
    <t>ORD0239</t>
  </si>
  <si>
    <t>09-06-2024</t>
  </si>
  <si>
    <t>ORD0240</t>
  </si>
  <si>
    <t>10-06-2024</t>
  </si>
  <si>
    <t>ORD0241</t>
  </si>
  <si>
    <t>ORD0242</t>
  </si>
  <si>
    <t>25-12-2024</t>
  </si>
  <si>
    <t>ORD0243</t>
  </si>
  <si>
    <t>ORD0244</t>
  </si>
  <si>
    <t>ORD0245</t>
  </si>
  <si>
    <t>10-11-2024</t>
  </si>
  <si>
    <t>ORD0246</t>
  </si>
  <si>
    <t>ORD0247</t>
  </si>
  <si>
    <t>ORD0248</t>
  </si>
  <si>
    <t>05-02-2024</t>
  </si>
  <si>
    <t>ORD0249</t>
  </si>
  <si>
    <t>ORD0250</t>
  </si>
  <si>
    <t>ORD0251</t>
  </si>
  <si>
    <t>02-03-2024</t>
  </si>
  <si>
    <t>ORD0252</t>
  </si>
  <si>
    <t>02-11-2024</t>
  </si>
  <si>
    <t>ORD0253</t>
  </si>
  <si>
    <t>10-05-2024</t>
  </si>
  <si>
    <t>ORD0254</t>
  </si>
  <si>
    <t>14-05-2024</t>
  </si>
  <si>
    <t>ORD0255</t>
  </si>
  <si>
    <t>13-04-2024</t>
  </si>
  <si>
    <t>ORD0256</t>
  </si>
  <si>
    <t>05-07-2024</t>
  </si>
  <si>
    <t>ORD0257</t>
  </si>
  <si>
    <t>28-04-2024</t>
  </si>
  <si>
    <t>ORD0258</t>
  </si>
  <si>
    <t>ORD0259</t>
  </si>
  <si>
    <t>ORD0260</t>
  </si>
  <si>
    <t>25-07-2024</t>
  </si>
  <si>
    <t>ORD0261</t>
  </si>
  <si>
    <t>ORD0262</t>
  </si>
  <si>
    <t>ORD0263</t>
  </si>
  <si>
    <t>27-03-2024</t>
  </si>
  <si>
    <t>ORD0264</t>
  </si>
  <si>
    <t>29-08-2024</t>
  </si>
  <si>
    <t>ORD0265</t>
  </si>
  <si>
    <t>30-07-2024</t>
  </si>
  <si>
    <t>ORD0266</t>
  </si>
  <si>
    <t>ORD0267</t>
  </si>
  <si>
    <t>18-04-2024</t>
  </si>
  <si>
    <t>ORD0268</t>
  </si>
  <si>
    <t>ORD0269</t>
  </si>
  <si>
    <t>30-08-2024</t>
  </si>
  <si>
    <t>ORD0270</t>
  </si>
  <si>
    <t>ORD0271</t>
  </si>
  <si>
    <t>18-06-2024</t>
  </si>
  <si>
    <t>ORD0272</t>
  </si>
  <si>
    <t>30-03-2024</t>
  </si>
  <si>
    <t>ORD0273</t>
  </si>
  <si>
    <t>ORD0274</t>
  </si>
  <si>
    <t>ORD0275</t>
  </si>
  <si>
    <t>11-05-2024</t>
  </si>
  <si>
    <t>ORD0276</t>
  </si>
  <si>
    <t>12-12-2024</t>
  </si>
  <si>
    <t>ORD0277</t>
  </si>
  <si>
    <t>ORD0278</t>
  </si>
  <si>
    <t>18-07-2024</t>
  </si>
  <si>
    <t>ORD0279</t>
  </si>
  <si>
    <t>03-02-2024</t>
  </si>
  <si>
    <t>ORD0280</t>
  </si>
  <si>
    <t>ORD0281</t>
  </si>
  <si>
    <t>26-05-2024</t>
  </si>
  <si>
    <t>ORD0282</t>
  </si>
  <si>
    <t>ORD0283</t>
  </si>
  <si>
    <t>09-07-2024</t>
  </si>
  <si>
    <t>ORD0284</t>
  </si>
  <si>
    <t>04-02-2024</t>
  </si>
  <si>
    <t>ORD0285</t>
  </si>
  <si>
    <t>21-10-2024</t>
  </si>
  <si>
    <t>ORD0286</t>
  </si>
  <si>
    <t>ORD0287</t>
  </si>
  <si>
    <t>11-10-2024</t>
  </si>
  <si>
    <t>ORD0288</t>
  </si>
  <si>
    <t>ORD0289</t>
  </si>
  <si>
    <t>05-03-2024</t>
  </si>
  <si>
    <t>ORD0290</t>
  </si>
  <si>
    <t>ORD0291</t>
  </si>
  <si>
    <t>ORD0292</t>
  </si>
  <si>
    <t>ORD0293</t>
  </si>
  <si>
    <t>ORD0294</t>
  </si>
  <si>
    <t>ORD0295</t>
  </si>
  <si>
    <t>ORD0296</t>
  </si>
  <si>
    <t>23-02-2024</t>
  </si>
  <si>
    <t>ORD0297</t>
  </si>
  <si>
    <t>ORD0298</t>
  </si>
  <si>
    <t>01-06-2024</t>
  </si>
  <si>
    <t>ORD0299</t>
  </si>
  <si>
    <t>ORD0300</t>
  </si>
  <si>
    <t>ORD0301</t>
  </si>
  <si>
    <t>ORD0302</t>
  </si>
  <si>
    <t>ORD0303</t>
  </si>
  <si>
    <t>ORD0304</t>
  </si>
  <si>
    <t>ORD0305</t>
  </si>
  <si>
    <t>ORD0306</t>
  </si>
  <si>
    <t>ORD0307</t>
  </si>
  <si>
    <t>ORD0308</t>
  </si>
  <si>
    <t>29-09-2024</t>
  </si>
  <si>
    <t>ORD0309</t>
  </si>
  <si>
    <t>06-04-2024</t>
  </si>
  <si>
    <t>ORD0310</t>
  </si>
  <si>
    <t>ORD0311</t>
  </si>
  <si>
    <t>ORD0312</t>
  </si>
  <si>
    <t>18-01-2024</t>
  </si>
  <si>
    <t>ORD0313</t>
  </si>
  <si>
    <t>ORD0314</t>
  </si>
  <si>
    <t>27-08-2024</t>
  </si>
  <si>
    <t>ORD0315</t>
  </si>
  <si>
    <t>04-12-2024</t>
  </si>
  <si>
    <t>ORD0316</t>
  </si>
  <si>
    <t>19-06-2024</t>
  </si>
  <si>
    <t>ORD0317</t>
  </si>
  <si>
    <t>14-04-2024</t>
  </si>
  <si>
    <t>ORD0318</t>
  </si>
  <si>
    <t>17-08-2024</t>
  </si>
  <si>
    <t>ORD0319</t>
  </si>
  <si>
    <t>ORD0320</t>
  </si>
  <si>
    <t>ORD0321</t>
  </si>
  <si>
    <t>ORD0322</t>
  </si>
  <si>
    <t>02-08-2024</t>
  </si>
  <si>
    <t>ORD0323</t>
  </si>
  <si>
    <t>27-10-2024</t>
  </si>
  <si>
    <t>ORD0324</t>
  </si>
  <si>
    <t>ORD0325</t>
  </si>
  <si>
    <t>ORD0326</t>
  </si>
  <si>
    <t>29-01-2024</t>
  </si>
  <si>
    <t>ORD0327</t>
  </si>
  <si>
    <t>08-08-2024</t>
  </si>
  <si>
    <t>ORD0328</t>
  </si>
  <si>
    <t>ORD0329</t>
  </si>
  <si>
    <t>31-10-2024</t>
  </si>
  <si>
    <t>ORD0330</t>
  </si>
  <si>
    <t>20-08-2024</t>
  </si>
  <si>
    <t>ORD0331</t>
  </si>
  <si>
    <t>27-09-2024</t>
  </si>
  <si>
    <t>ORD0332</t>
  </si>
  <si>
    <t>ORD0333</t>
  </si>
  <si>
    <t>ORD0334</t>
  </si>
  <si>
    <t>06-05-2024</t>
  </si>
  <si>
    <t>ORD0335</t>
  </si>
  <si>
    <t>ORD0336</t>
  </si>
  <si>
    <t>ORD0337</t>
  </si>
  <si>
    <t>ORD0338</t>
  </si>
  <si>
    <t>ORD0339</t>
  </si>
  <si>
    <t>ORD0340</t>
  </si>
  <si>
    <t>30-01-2024</t>
  </si>
  <si>
    <t>ORD0341</t>
  </si>
  <si>
    <t>ORD0342</t>
  </si>
  <si>
    <t>31-08-2024</t>
  </si>
  <si>
    <t>ORD0343</t>
  </si>
  <si>
    <t>24-08-2024</t>
  </si>
  <si>
    <t>ORD0344</t>
  </si>
  <si>
    <t>ORD0345</t>
  </si>
  <si>
    <t>ORD0346</t>
  </si>
  <si>
    <t>04-04-2024</t>
  </si>
  <si>
    <t>ORD0347</t>
  </si>
  <si>
    <t>ORD0348</t>
  </si>
  <si>
    <t>ORD0349</t>
  </si>
  <si>
    <t>08-12-2024</t>
  </si>
  <si>
    <t>ORD0350</t>
  </si>
  <si>
    <t>ORD0351</t>
  </si>
  <si>
    <t>ORD0352</t>
  </si>
  <si>
    <t>ORD0353</t>
  </si>
  <si>
    <t>ORD0354</t>
  </si>
  <si>
    <t>15-03-2024</t>
  </si>
  <si>
    <t>ORD0355</t>
  </si>
  <si>
    <t>ORD0356</t>
  </si>
  <si>
    <t>03-05-2024</t>
  </si>
  <si>
    <t>ORD0357</t>
  </si>
  <si>
    <t>ORD0358</t>
  </si>
  <si>
    <t>ORD0359</t>
  </si>
  <si>
    <t>ORD0360</t>
  </si>
  <si>
    <t>ORD0361</t>
  </si>
  <si>
    <t>26-08-2024</t>
  </si>
  <si>
    <t>ORD0362</t>
  </si>
  <si>
    <t>04-07-2024</t>
  </si>
  <si>
    <t>ORD0363</t>
  </si>
  <si>
    <t>ORD0364</t>
  </si>
  <si>
    <t>24-12-2024</t>
  </si>
  <si>
    <t>ORD0365</t>
  </si>
  <si>
    <t>ORD0366</t>
  </si>
  <si>
    <t>ORD0367</t>
  </si>
  <si>
    <t>ORD0368</t>
  </si>
  <si>
    <t>07-02-2024</t>
  </si>
  <si>
    <t>ORD0369</t>
  </si>
  <si>
    <t>ORD0370</t>
  </si>
  <si>
    <t>ORD0371</t>
  </si>
  <si>
    <t>ORD0372</t>
  </si>
  <si>
    <t>10-07-2024</t>
  </si>
  <si>
    <t>ORD0373</t>
  </si>
  <si>
    <t>25-02-2024</t>
  </si>
  <si>
    <t>ORD0374</t>
  </si>
  <si>
    <t>ORD0375</t>
  </si>
  <si>
    <t>19-05-2024</t>
  </si>
  <si>
    <t>ORD0376</t>
  </si>
  <si>
    <t>ORD0377</t>
  </si>
  <si>
    <t>ORD0378</t>
  </si>
  <si>
    <t>ORD0379</t>
  </si>
  <si>
    <t>02-12-2024</t>
  </si>
  <si>
    <t>ORD0380</t>
  </si>
  <si>
    <t>ORD0381</t>
  </si>
  <si>
    <t>ORD0382</t>
  </si>
  <si>
    <t>ORD0383</t>
  </si>
  <si>
    <t>ORD0384</t>
  </si>
  <si>
    <t>ORD0385</t>
  </si>
  <si>
    <t>25-08-2024</t>
  </si>
  <si>
    <t>ORD0386</t>
  </si>
  <si>
    <t>ORD0387</t>
  </si>
  <si>
    <t>ORD0388</t>
  </si>
  <si>
    <t>ORD0389</t>
  </si>
  <si>
    <t>10-08-2024</t>
  </si>
  <si>
    <t>ORD0390</t>
  </si>
  <si>
    <t>ORD0391</t>
  </si>
  <si>
    <t>ORD0392</t>
  </si>
  <si>
    <t>05-10-2024</t>
  </si>
  <si>
    <t>ORD0393</t>
  </si>
  <si>
    <t>ORD0394</t>
  </si>
  <si>
    <t>22-03-2024</t>
  </si>
  <si>
    <t>ORD0395</t>
  </si>
  <si>
    <t>ORD0396</t>
  </si>
  <si>
    <t>ORD0397</t>
  </si>
  <si>
    <t>ORD0398</t>
  </si>
  <si>
    <t>ORD0399</t>
  </si>
  <si>
    <t>ORD0400</t>
  </si>
  <si>
    <t>09-12-2024</t>
  </si>
  <si>
    <t>ORD0401</t>
  </si>
  <si>
    <t>29-02-2024</t>
  </si>
  <si>
    <t>ORD0402</t>
  </si>
  <si>
    <t>ORD0403</t>
  </si>
  <si>
    <t>ORD0404</t>
  </si>
  <si>
    <t>05-08-2024</t>
  </si>
  <si>
    <t>ORD0405</t>
  </si>
  <si>
    <t>ORD0406</t>
  </si>
  <si>
    <t>ORD0407</t>
  </si>
  <si>
    <t>ORD0408</t>
  </si>
  <si>
    <t>08-10-2024</t>
  </si>
  <si>
    <t>ORD0409</t>
  </si>
  <si>
    <t>ORD0410</t>
  </si>
  <si>
    <t>25-05-2024</t>
  </si>
  <si>
    <t>ORD0411</t>
  </si>
  <si>
    <t>ORD0412</t>
  </si>
  <si>
    <t>ORD0413</t>
  </si>
  <si>
    <t>ORD0414</t>
  </si>
  <si>
    <t>ORD0415</t>
  </si>
  <si>
    <t>ORD0416</t>
  </si>
  <si>
    <t>01-08-2024</t>
  </si>
  <si>
    <t>ORD0417</t>
  </si>
  <si>
    <t>26-06-2024</t>
  </si>
  <si>
    <t>ORD0418</t>
  </si>
  <si>
    <t>11-08-2024</t>
  </si>
  <si>
    <t>ORD0419</t>
  </si>
  <si>
    <t>24-11-2024</t>
  </si>
  <si>
    <t>ORD0420</t>
  </si>
  <si>
    <t>ORD0421</t>
  </si>
  <si>
    <t>ORD0422</t>
  </si>
  <si>
    <t>ORD0423</t>
  </si>
  <si>
    <t>07-04-2024</t>
  </si>
  <si>
    <t>ORD0424</t>
  </si>
  <si>
    <t>07-11-2024</t>
  </si>
  <si>
    <t>ORD0425</t>
  </si>
  <si>
    <t>ORD0426</t>
  </si>
  <si>
    <t>ORD0427</t>
  </si>
  <si>
    <t>12-09-2024</t>
  </si>
  <si>
    <t>ORD0428</t>
  </si>
  <si>
    <t>ORD0429</t>
  </si>
  <si>
    <t>12-06-2024</t>
  </si>
  <si>
    <t>ORD0430</t>
  </si>
  <si>
    <t>ORD0431</t>
  </si>
  <si>
    <t>ORD0432</t>
  </si>
  <si>
    <t>28-12-2024</t>
  </si>
  <si>
    <t>ORD0433</t>
  </si>
  <si>
    <t>17-10-2024</t>
  </si>
  <si>
    <t>ORD0434</t>
  </si>
  <si>
    <t>ORD0435</t>
  </si>
  <si>
    <t>ORD0436</t>
  </si>
  <si>
    <t>ORD0437</t>
  </si>
  <si>
    <t>ORD0438</t>
  </si>
  <si>
    <t>07-08-2024</t>
  </si>
  <si>
    <t>ORD0439</t>
  </si>
  <si>
    <t>19-10-2024</t>
  </si>
  <si>
    <t>ORD0440</t>
  </si>
  <si>
    <t>ORD0441</t>
  </si>
  <si>
    <t>ORD0442</t>
  </si>
  <si>
    <t>ORD0443</t>
  </si>
  <si>
    <t>ORD0444</t>
  </si>
  <si>
    <t>ORD0445</t>
  </si>
  <si>
    <t>ORD0446</t>
  </si>
  <si>
    <t>ORD0447</t>
  </si>
  <si>
    <t>ORD0448</t>
  </si>
  <si>
    <t>ORD0449</t>
  </si>
  <si>
    <t>ORD0450</t>
  </si>
  <si>
    <t>ORD0451</t>
  </si>
  <si>
    <t>ORD0452</t>
  </si>
  <si>
    <t>ORD0453</t>
  </si>
  <si>
    <t>ORD0454</t>
  </si>
  <si>
    <t>27-04-2024</t>
  </si>
  <si>
    <t>ORD0455</t>
  </si>
  <si>
    <t>ORD0456</t>
  </si>
  <si>
    <t>ORD0457</t>
  </si>
  <si>
    <t>26-11-2024</t>
  </si>
  <si>
    <t>ORD0458</t>
  </si>
  <si>
    <t>ORD0459</t>
  </si>
  <si>
    <t>23-10-2024</t>
  </si>
  <si>
    <t>ORD0460</t>
  </si>
  <si>
    <t>ORD0461</t>
  </si>
  <si>
    <t>ORD0462</t>
  </si>
  <si>
    <t>ORD0463</t>
  </si>
  <si>
    <t>ORD0464</t>
  </si>
  <si>
    <t>ORD0465</t>
  </si>
  <si>
    <t>ORD0466</t>
  </si>
  <si>
    <t>17-12-2024</t>
  </si>
  <si>
    <t>ORD0467</t>
  </si>
  <si>
    <t>ORD0468</t>
  </si>
  <si>
    <t>ORD0469</t>
  </si>
  <si>
    <t>ORD0470</t>
  </si>
  <si>
    <t>19-03-2024</t>
  </si>
  <si>
    <t>ORD0471</t>
  </si>
  <si>
    <t>ORD0472</t>
  </si>
  <si>
    <t>05-01-2024</t>
  </si>
  <si>
    <t>ORD0473</t>
  </si>
  <si>
    <t>13-05-2024</t>
  </si>
  <si>
    <t>ORD0474</t>
  </si>
  <si>
    <t>ORD0475</t>
  </si>
  <si>
    <t>11-11-2024</t>
  </si>
  <si>
    <t>ORD0476</t>
  </si>
  <si>
    <t>ORD0477</t>
  </si>
  <si>
    <t>ORD0478</t>
  </si>
  <si>
    <t>ORD0479</t>
  </si>
  <si>
    <t>22-06-2024</t>
  </si>
  <si>
    <t>ORD0480</t>
  </si>
  <si>
    <t>ORD0481</t>
  </si>
  <si>
    <t>ORD0482</t>
  </si>
  <si>
    <t>ORD0483</t>
  </si>
  <si>
    <t>ORD0484</t>
  </si>
  <si>
    <t>ORD0485</t>
  </si>
  <si>
    <t>12-01-2024</t>
  </si>
  <si>
    <t>ORD0486</t>
  </si>
  <si>
    <t>16-01-2024</t>
  </si>
  <si>
    <t>ORD0487</t>
  </si>
  <si>
    <t>13-06-2024</t>
  </si>
  <si>
    <t>ORD0488</t>
  </si>
  <si>
    <t>ORD0489</t>
  </si>
  <si>
    <t>ORD0490</t>
  </si>
  <si>
    <t>ORD0491</t>
  </si>
  <si>
    <t>09-03-2024</t>
  </si>
  <si>
    <t>ORD0492</t>
  </si>
  <si>
    <t>ORD0493</t>
  </si>
  <si>
    <t>ORD0494</t>
  </si>
  <si>
    <t>ORD0495</t>
  </si>
  <si>
    <t>30-10-2024</t>
  </si>
  <si>
    <t>ORD0496</t>
  </si>
  <si>
    <t>01-05-2024</t>
  </si>
  <si>
    <t>ORD0497</t>
  </si>
  <si>
    <t>ORD0498</t>
  </si>
  <si>
    <t>ORD0499</t>
  </si>
  <si>
    <t>ORD0500</t>
  </si>
  <si>
    <t>ORD0501</t>
  </si>
  <si>
    <t>ORD0502</t>
  </si>
  <si>
    <t>ORD0503</t>
  </si>
  <si>
    <t>17-11-2024</t>
  </si>
  <si>
    <t>ORD0504</t>
  </si>
  <si>
    <t>ORD0505</t>
  </si>
  <si>
    <t>ORD0506</t>
  </si>
  <si>
    <t>ORD0507</t>
  </si>
  <si>
    <t>16-08-2024</t>
  </si>
  <si>
    <t>ORD0508</t>
  </si>
  <si>
    <t>ORD0509</t>
  </si>
  <si>
    <t>ORD0510</t>
  </si>
  <si>
    <t>ORD0511</t>
  </si>
  <si>
    <t>ORD0512</t>
  </si>
  <si>
    <t>14-06-2024</t>
  </si>
  <si>
    <t>ORD0513</t>
  </si>
  <si>
    <t>ORD0514</t>
  </si>
  <si>
    <t>ORD0515</t>
  </si>
  <si>
    <t>ORD0516</t>
  </si>
  <si>
    <t>ORD0517</t>
  </si>
  <si>
    <t>ORD0518</t>
  </si>
  <si>
    <t>ORD0519</t>
  </si>
  <si>
    <t>18-02-2024</t>
  </si>
  <si>
    <t>ORD0520</t>
  </si>
  <si>
    <t>ORD0521</t>
  </si>
  <si>
    <t>ORD0522</t>
  </si>
  <si>
    <t>ORD0523</t>
  </si>
  <si>
    <t>ORD0524</t>
  </si>
  <si>
    <t>ORD0525</t>
  </si>
  <si>
    <t>ORD0526</t>
  </si>
  <si>
    <t>20-10-2024</t>
  </si>
  <si>
    <t>ORD0527</t>
  </si>
  <si>
    <t>ORD0528</t>
  </si>
  <si>
    <t>ORD0529</t>
  </si>
  <si>
    <t>ORD0530</t>
  </si>
  <si>
    <t>ORD0531</t>
  </si>
  <si>
    <t>ORD0532</t>
  </si>
  <si>
    <t>06-11-2024</t>
  </si>
  <si>
    <t>ORD0533</t>
  </si>
  <si>
    <t>ORD0534</t>
  </si>
  <si>
    <t>ORD0535</t>
  </si>
  <si>
    <t>ORD0536</t>
  </si>
  <si>
    <t>ORD0537</t>
  </si>
  <si>
    <t>ORD0538</t>
  </si>
  <si>
    <t>ORD0539</t>
  </si>
  <si>
    <t>ORD0540</t>
  </si>
  <si>
    <t>19-08-2024</t>
  </si>
  <si>
    <t>ORD0541</t>
  </si>
  <si>
    <t>ORD0542</t>
  </si>
  <si>
    <t>ORD0543</t>
  </si>
  <si>
    <t>ORD0544</t>
  </si>
  <si>
    <t>ORD0545</t>
  </si>
  <si>
    <t>ORD0546</t>
  </si>
  <si>
    <t>02-05-2024</t>
  </si>
  <si>
    <t>ORD0547</t>
  </si>
  <si>
    <t>ORD0548</t>
  </si>
  <si>
    <t>ORD0549</t>
  </si>
  <si>
    <t>02-01-2024</t>
  </si>
  <si>
    <t>ORD0550</t>
  </si>
  <si>
    <t>ORD0551</t>
  </si>
  <si>
    <t>07-07-2024</t>
  </si>
  <si>
    <t>ORD0552</t>
  </si>
  <si>
    <t>08-09-2024</t>
  </si>
  <si>
    <t>ORD0553</t>
  </si>
  <si>
    <t>ORD0554</t>
  </si>
  <si>
    <t>ORD0555</t>
  </si>
  <si>
    <t>10-09-2024</t>
  </si>
  <si>
    <t>ORD0556</t>
  </si>
  <si>
    <t>ORD0557</t>
  </si>
  <si>
    <t>ORD0558</t>
  </si>
  <si>
    <t>08-04-2024</t>
  </si>
  <si>
    <t>ORD0559</t>
  </si>
  <si>
    <t>ORD0560</t>
  </si>
  <si>
    <t>ORD0561</t>
  </si>
  <si>
    <t>ORD0562</t>
  </si>
  <si>
    <t>ORD0563</t>
  </si>
  <si>
    <t>ORD0564</t>
  </si>
  <si>
    <t>ORD0565</t>
  </si>
  <si>
    <t>ORD0566</t>
  </si>
  <si>
    <t>ORD0567</t>
  </si>
  <si>
    <t>ORD0568</t>
  </si>
  <si>
    <t>ORD0569</t>
  </si>
  <si>
    <t>ORD0570</t>
  </si>
  <si>
    <t>ORD0571</t>
  </si>
  <si>
    <t>02-02-2024</t>
  </si>
  <si>
    <t>ORD0572</t>
  </si>
  <si>
    <t>ORD0573</t>
  </si>
  <si>
    <t>ORD0574</t>
  </si>
  <si>
    <t>ORD0575</t>
  </si>
  <si>
    <t>09-02-2024</t>
  </si>
  <si>
    <t>ORD0576</t>
  </si>
  <si>
    <t>ORD0577</t>
  </si>
  <si>
    <t>ORD0578</t>
  </si>
  <si>
    <t>15-12-2024</t>
  </si>
  <si>
    <t>ORD0579</t>
  </si>
  <si>
    <t>ORD0580</t>
  </si>
  <si>
    <t>ORD0581</t>
  </si>
  <si>
    <t>ORD0582</t>
  </si>
  <si>
    <t>ORD0583</t>
  </si>
  <si>
    <t>ORD0584</t>
  </si>
  <si>
    <t>ORD0585</t>
  </si>
  <si>
    <t>ORD0586</t>
  </si>
  <si>
    <t>ORD0587</t>
  </si>
  <si>
    <t>ORD0588</t>
  </si>
  <si>
    <t>ORD0589</t>
  </si>
  <si>
    <t>ORD0590</t>
  </si>
  <si>
    <t>ORD0591</t>
  </si>
  <si>
    <t>18-12-2024</t>
  </si>
  <si>
    <t>ORD0592</t>
  </si>
  <si>
    <t>ORD0593</t>
  </si>
  <si>
    <t>13-09-2024</t>
  </si>
  <si>
    <t>ORD0594</t>
  </si>
  <si>
    <t>ORD0595</t>
  </si>
  <si>
    <t>ORD0596</t>
  </si>
  <si>
    <t>ORD0597</t>
  </si>
  <si>
    <t>11-04-2024</t>
  </si>
  <si>
    <t>ORD0598</t>
  </si>
  <si>
    <t>ORD0599</t>
  </si>
  <si>
    <t>ORD0600</t>
  </si>
  <si>
    <t>ORD0601</t>
  </si>
  <si>
    <t>ORD0602</t>
  </si>
  <si>
    <t>21-01-2024</t>
  </si>
  <si>
    <t>ORD0603</t>
  </si>
  <si>
    <t>ORD0604</t>
  </si>
  <si>
    <t>ORD0605</t>
  </si>
  <si>
    <t>ORD0606</t>
  </si>
  <si>
    <t>ORD0607</t>
  </si>
  <si>
    <t>ORD0608</t>
  </si>
  <si>
    <t>ORD0609</t>
  </si>
  <si>
    <t>01-01-2024</t>
  </si>
  <si>
    <t>ORD0610</t>
  </si>
  <si>
    <t>08-11-2024</t>
  </si>
  <si>
    <t>ORD0611</t>
  </si>
  <si>
    <t>ORD0612</t>
  </si>
  <si>
    <t>ORD0613</t>
  </si>
  <si>
    <t>ORD0614</t>
  </si>
  <si>
    <t>ORD0615</t>
  </si>
  <si>
    <t>ORD0616</t>
  </si>
  <si>
    <t>ORD0617</t>
  </si>
  <si>
    <t>ORD0618</t>
  </si>
  <si>
    <t>16-09-2024</t>
  </si>
  <si>
    <t>ORD0619</t>
  </si>
  <si>
    <t>ORD0620</t>
  </si>
  <si>
    <t>ORD0621</t>
  </si>
  <si>
    <t>ORD0622</t>
  </si>
  <si>
    <t>ORD0623</t>
  </si>
  <si>
    <t>ORD0624</t>
  </si>
  <si>
    <t>15-09-2024</t>
  </si>
  <si>
    <t>ORD0625</t>
  </si>
  <si>
    <t>ORD0626</t>
  </si>
  <si>
    <t>ORD0627</t>
  </si>
  <si>
    <t>ORD0628</t>
  </si>
  <si>
    <t>20-07-2024</t>
  </si>
  <si>
    <t>ORD0629</t>
  </si>
  <si>
    <t>ORD0630</t>
  </si>
  <si>
    <t>ORD0631</t>
  </si>
  <si>
    <t>ORD0632</t>
  </si>
  <si>
    <t>ORD0633</t>
  </si>
  <si>
    <t>ORD0634</t>
  </si>
  <si>
    <t>13-07-2024</t>
  </si>
  <si>
    <t>ORD0635</t>
  </si>
  <si>
    <t>17-06-2024</t>
  </si>
  <si>
    <t>ORD0636</t>
  </si>
  <si>
    <t>31-03-2024</t>
  </si>
  <si>
    <t>ORD0637</t>
  </si>
  <si>
    <t>14-12-2024</t>
  </si>
  <si>
    <t>ORD0638</t>
  </si>
  <si>
    <t>18-10-2024</t>
  </si>
  <si>
    <t>ORD0639</t>
  </si>
  <si>
    <t>ORD0640</t>
  </si>
  <si>
    <t>ORD0641</t>
  </si>
  <si>
    <t>29-11-2024</t>
  </si>
  <si>
    <t>ORD0642</t>
  </si>
  <si>
    <t>ORD0643</t>
  </si>
  <si>
    <t>ORD0644</t>
  </si>
  <si>
    <t>ORD0645</t>
  </si>
  <si>
    <t>ORD0646</t>
  </si>
  <si>
    <t>ORD0647</t>
  </si>
  <si>
    <t>ORD0648</t>
  </si>
  <si>
    <t>ORD0649</t>
  </si>
  <si>
    <t>ORD0650</t>
  </si>
  <si>
    <t>ORD0651</t>
  </si>
  <si>
    <t>ORD0652</t>
  </si>
  <si>
    <t>ORD0653</t>
  </si>
  <si>
    <t>28-03-2024</t>
  </si>
  <si>
    <t>ORD0654</t>
  </si>
  <si>
    <t>ORD0655</t>
  </si>
  <si>
    <t>ORD0656</t>
  </si>
  <si>
    <t>ORD0657</t>
  </si>
  <si>
    <t>16-10-2024</t>
  </si>
  <si>
    <t>ORD0658</t>
  </si>
  <si>
    <t>ORD0659</t>
  </si>
  <si>
    <t>ORD0660</t>
  </si>
  <si>
    <t>ORD0661</t>
  </si>
  <si>
    <t>ORD0662</t>
  </si>
  <si>
    <t>ORD0663</t>
  </si>
  <si>
    <t>ORD0664</t>
  </si>
  <si>
    <t>ORD0665</t>
  </si>
  <si>
    <t>ORD0666</t>
  </si>
  <si>
    <t>ORD0667</t>
  </si>
  <si>
    <t>20-04-2024</t>
  </si>
  <si>
    <t>ORD0668</t>
  </si>
  <si>
    <t>ORD0669</t>
  </si>
  <si>
    <t>ORD0670</t>
  </si>
  <si>
    <t>ORD0671</t>
  </si>
  <si>
    <t>ORD0672</t>
  </si>
  <si>
    <t>ORD0673</t>
  </si>
  <si>
    <t>ORD0674</t>
  </si>
  <si>
    <t>ORD0675</t>
  </si>
  <si>
    <t>ORD0676</t>
  </si>
  <si>
    <t>ORD0677</t>
  </si>
  <si>
    <t>ORD0678</t>
  </si>
  <si>
    <t>ORD0679</t>
  </si>
  <si>
    <t>ORD0680</t>
  </si>
  <si>
    <t>ORD0681</t>
  </si>
  <si>
    <t>02-06-2024</t>
  </si>
  <si>
    <t>ORD0682</t>
  </si>
  <si>
    <t>ORD0683</t>
  </si>
  <si>
    <t>ORD0684</t>
  </si>
  <si>
    <t>ORD0685</t>
  </si>
  <si>
    <t>ORD0686</t>
  </si>
  <si>
    <t>ORD0687</t>
  </si>
  <si>
    <t>19-02-2024</t>
  </si>
  <si>
    <t>ORD0688</t>
  </si>
  <si>
    <t>ORD0689</t>
  </si>
  <si>
    <t>ORD0690</t>
  </si>
  <si>
    <t>ORD0691</t>
  </si>
  <si>
    <t>22-04-2024</t>
  </si>
  <si>
    <t>ORD0692</t>
  </si>
  <si>
    <t>ORD0693</t>
  </si>
  <si>
    <t>ORD0694</t>
  </si>
  <si>
    <t>ORD0695</t>
  </si>
  <si>
    <t>ORD0696</t>
  </si>
  <si>
    <t>ORD0697</t>
  </si>
  <si>
    <t>07-01-2024</t>
  </si>
  <si>
    <t>ORD0698</t>
  </si>
  <si>
    <t>ORD0699</t>
  </si>
  <si>
    <t>ORD0700</t>
  </si>
  <si>
    <t>ORD0701</t>
  </si>
  <si>
    <t>01-02-2024</t>
  </si>
  <si>
    <t>ORD0702</t>
  </si>
  <si>
    <t>28-07-2024</t>
  </si>
  <si>
    <t>ORD0703</t>
  </si>
  <si>
    <t>ORD0704</t>
  </si>
  <si>
    <t>ORD0705</t>
  </si>
  <si>
    <t>ORD0706</t>
  </si>
  <si>
    <t>ORD0707</t>
  </si>
  <si>
    <t>ORD0708</t>
  </si>
  <si>
    <t>ORD0709</t>
  </si>
  <si>
    <t>ORD0710</t>
  </si>
  <si>
    <t>ORD0711</t>
  </si>
  <si>
    <t>27-05-2024</t>
  </si>
  <si>
    <t>ORD0712</t>
  </si>
  <si>
    <t>ORD0713</t>
  </si>
  <si>
    <t>14-02-2024</t>
  </si>
  <si>
    <t>ORD0714</t>
  </si>
  <si>
    <t>ORD0715</t>
  </si>
  <si>
    <t>ORD0716</t>
  </si>
  <si>
    <t>ORD0717</t>
  </si>
  <si>
    <t>ORD0718</t>
  </si>
  <si>
    <t>ORD0719</t>
  </si>
  <si>
    <t>ORD0720</t>
  </si>
  <si>
    <t>ORD0721</t>
  </si>
  <si>
    <t>25-10-2024</t>
  </si>
  <si>
    <t>ORD0722</t>
  </si>
  <si>
    <t>ORD0723</t>
  </si>
  <si>
    <t>12-03-2024</t>
  </si>
  <si>
    <t>ORD0724</t>
  </si>
  <si>
    <t>ORD0725</t>
  </si>
  <si>
    <t>ORD0726</t>
  </si>
  <si>
    <t>28-09-2024</t>
  </si>
  <si>
    <t>ORD0727</t>
  </si>
  <si>
    <t>ORD0728</t>
  </si>
  <si>
    <t>ORD0729</t>
  </si>
  <si>
    <t>ORD0730</t>
  </si>
  <si>
    <t>ORD0731</t>
  </si>
  <si>
    <t>ORD0732</t>
  </si>
  <si>
    <t>ORD0733</t>
  </si>
  <si>
    <t>ORD0734</t>
  </si>
  <si>
    <t>ORD0735</t>
  </si>
  <si>
    <t>12-10-2024</t>
  </si>
  <si>
    <t>ORD0736</t>
  </si>
  <si>
    <t>ORD0737</t>
  </si>
  <si>
    <t>07-12-2024</t>
  </si>
  <si>
    <t>ORD0738</t>
  </si>
  <si>
    <t>ORD0739</t>
  </si>
  <si>
    <t>ORD0740</t>
  </si>
  <si>
    <t>ORD0741</t>
  </si>
  <si>
    <t>ORD0742</t>
  </si>
  <si>
    <t>ORD0743</t>
  </si>
  <si>
    <t>ORD0744</t>
  </si>
  <si>
    <t>ORD0745</t>
  </si>
  <si>
    <t>ORD0746</t>
  </si>
  <si>
    <t>ORD0747</t>
  </si>
  <si>
    <t>ORD0748</t>
  </si>
  <si>
    <t>ORD0749</t>
  </si>
  <si>
    <t>ORD0750</t>
  </si>
  <si>
    <t>ORD0751</t>
  </si>
  <si>
    <t>ORD0752</t>
  </si>
  <si>
    <t>ORD0753</t>
  </si>
  <si>
    <t>21-02-2024</t>
  </si>
  <si>
    <t>ORD0754</t>
  </si>
  <si>
    <t>ORD0755</t>
  </si>
  <si>
    <t>ORD0756</t>
  </si>
  <si>
    <t>ORD0757</t>
  </si>
  <si>
    <t>ORD0758</t>
  </si>
  <si>
    <t>ORD0759</t>
  </si>
  <si>
    <t>ORD0760</t>
  </si>
  <si>
    <t>ORD0761</t>
  </si>
  <si>
    <t>ORD0762</t>
  </si>
  <si>
    <t>ORD0763</t>
  </si>
  <si>
    <t>ORD0764</t>
  </si>
  <si>
    <t>ORD0765</t>
  </si>
  <si>
    <t>ORD0766</t>
  </si>
  <si>
    <t>ORD0767</t>
  </si>
  <si>
    <t>ORD0768</t>
  </si>
  <si>
    <t>ORD0769</t>
  </si>
  <si>
    <t>ORD0770</t>
  </si>
  <si>
    <t>ORD0771</t>
  </si>
  <si>
    <t>ORD0772</t>
  </si>
  <si>
    <t>ORD0773</t>
  </si>
  <si>
    <t>ORD0774</t>
  </si>
  <si>
    <t>ORD0775</t>
  </si>
  <si>
    <t>ORD0776</t>
  </si>
  <si>
    <t>ORD0777</t>
  </si>
  <si>
    <t>ORD0778</t>
  </si>
  <si>
    <t>ORD0779</t>
  </si>
  <si>
    <t>ORD0780</t>
  </si>
  <si>
    <t>ORD0781</t>
  </si>
  <si>
    <t>ORD0782</t>
  </si>
  <si>
    <t>ORD0783</t>
  </si>
  <si>
    <t>ORD0784</t>
  </si>
  <si>
    <t>ORD0785</t>
  </si>
  <si>
    <t>ORD0786</t>
  </si>
  <si>
    <t>ORD0787</t>
  </si>
  <si>
    <t>ORD0788</t>
  </si>
  <si>
    <t>ORD0789</t>
  </si>
  <si>
    <t>ORD0790</t>
  </si>
  <si>
    <t>ORD0791</t>
  </si>
  <si>
    <t>21-07-2024</t>
  </si>
  <si>
    <t>ORD0792</t>
  </si>
  <si>
    <t>ORD0793</t>
  </si>
  <si>
    <t>ORD0794</t>
  </si>
  <si>
    <t>ORD0795</t>
  </si>
  <si>
    <t>ORD0796</t>
  </si>
  <si>
    <t>ORD0797</t>
  </si>
  <si>
    <t>ORD0798</t>
  </si>
  <si>
    <t>ORD0799</t>
  </si>
  <si>
    <t>ORD0800</t>
  </si>
  <si>
    <t>ORD0801</t>
  </si>
  <si>
    <t>ORD0802</t>
  </si>
  <si>
    <t>ORD0803</t>
  </si>
  <si>
    <t>ORD0804</t>
  </si>
  <si>
    <t>23-08-2024</t>
  </si>
  <si>
    <t>ORD0805</t>
  </si>
  <si>
    <t>ORD0806</t>
  </si>
  <si>
    <t>ORD0807</t>
  </si>
  <si>
    <t>ORD0808</t>
  </si>
  <si>
    <t>ORD0809</t>
  </si>
  <si>
    <t>ORD0810</t>
  </si>
  <si>
    <t>ORD0811</t>
  </si>
  <si>
    <t>20-09-2024</t>
  </si>
  <si>
    <t>ORD0812</t>
  </si>
  <si>
    <t>ORD0813</t>
  </si>
  <si>
    <t>30-09-2024</t>
  </si>
  <si>
    <t>ORD0814</t>
  </si>
  <si>
    <t>ORD0815</t>
  </si>
  <si>
    <t>ORD0816</t>
  </si>
  <si>
    <t>ORD0817</t>
  </si>
  <si>
    <t>16-07-2024</t>
  </si>
  <si>
    <t>ORD0818</t>
  </si>
  <si>
    <t>ORD0819</t>
  </si>
  <si>
    <t>ORD0820</t>
  </si>
  <si>
    <t>ORD0821</t>
  </si>
  <si>
    <t>ORD0822</t>
  </si>
  <si>
    <t>ORD0823</t>
  </si>
  <si>
    <t>05-12-2024</t>
  </si>
  <si>
    <t>ORD0824</t>
  </si>
  <si>
    <t>21-03-2024</t>
  </si>
  <si>
    <t>ORD0825</t>
  </si>
  <si>
    <t>ORD0826</t>
  </si>
  <si>
    <t>ORD0827</t>
  </si>
  <si>
    <t>ORD0828</t>
  </si>
  <si>
    <t>ORD0829</t>
  </si>
  <si>
    <t>ORD0830</t>
  </si>
  <si>
    <t>ORD0831</t>
  </si>
  <si>
    <t>ORD0832</t>
  </si>
  <si>
    <t>ORD0833</t>
  </si>
  <si>
    <t>ORD0834</t>
  </si>
  <si>
    <t>17-01-2024</t>
  </si>
  <si>
    <t>ORD0835</t>
  </si>
  <si>
    <t>ORD0836</t>
  </si>
  <si>
    <t>ORD0837</t>
  </si>
  <si>
    <t>ORD0838</t>
  </si>
  <si>
    <t>ORD0839</t>
  </si>
  <si>
    <t>ORD0840</t>
  </si>
  <si>
    <t>06-06-2024</t>
  </si>
  <si>
    <t>ORD0841</t>
  </si>
  <si>
    <t>ORD0842</t>
  </si>
  <si>
    <t>ORD0843</t>
  </si>
  <si>
    <t>ORD0844</t>
  </si>
  <si>
    <t>ORD0845</t>
  </si>
  <si>
    <t>ORD0846</t>
  </si>
  <si>
    <t>ORD0847</t>
  </si>
  <si>
    <t>ORD0848</t>
  </si>
  <si>
    <t>ORD0849</t>
  </si>
  <si>
    <t>ORD0850</t>
  </si>
  <si>
    <t>ORD0851</t>
  </si>
  <si>
    <t>ORD0852</t>
  </si>
  <si>
    <t>ORD0853</t>
  </si>
  <si>
    <t>ORD0854</t>
  </si>
  <si>
    <t>ORD0855</t>
  </si>
  <si>
    <t>ORD0856</t>
  </si>
  <si>
    <t>ORD0857</t>
  </si>
  <si>
    <t>ORD0858</t>
  </si>
  <si>
    <t>ORD0859</t>
  </si>
  <si>
    <t>ORD0860</t>
  </si>
  <si>
    <t>ORD0861</t>
  </si>
  <si>
    <t>ORD0862</t>
  </si>
  <si>
    <t>ORD0863</t>
  </si>
  <si>
    <t>ORD0864</t>
  </si>
  <si>
    <t>ORD0865</t>
  </si>
  <si>
    <t>ORD0866</t>
  </si>
  <si>
    <t>ORD0867</t>
  </si>
  <si>
    <t>ORD0868</t>
  </si>
  <si>
    <t>ORD0869</t>
  </si>
  <si>
    <t>ORD0870</t>
  </si>
  <si>
    <t>ORD0871</t>
  </si>
  <si>
    <t>ORD0872</t>
  </si>
  <si>
    <t>ORD0873</t>
  </si>
  <si>
    <t>ORD0874</t>
  </si>
  <si>
    <t>15-07-2024</t>
  </si>
  <si>
    <t>ORD0875</t>
  </si>
  <si>
    <t>ORD0876</t>
  </si>
  <si>
    <t>ORD0877</t>
  </si>
  <si>
    <t>ORD0878</t>
  </si>
  <si>
    <t>ORD0879</t>
  </si>
  <si>
    <t>ORD0880</t>
  </si>
  <si>
    <t>ORD0881</t>
  </si>
  <si>
    <t>ORD0882</t>
  </si>
  <si>
    <t>ORD0883</t>
  </si>
  <si>
    <t>ORD0884</t>
  </si>
  <si>
    <t>ORD0885</t>
  </si>
  <si>
    <t>ORD0886</t>
  </si>
  <si>
    <t>ORD0887</t>
  </si>
  <si>
    <t>ORD0888</t>
  </si>
  <si>
    <t>ORD0889</t>
  </si>
  <si>
    <t>17-09-2024</t>
  </si>
  <si>
    <t>ORD0890</t>
  </si>
  <si>
    <t>ORD0891</t>
  </si>
  <si>
    <t>ORD0892</t>
  </si>
  <si>
    <t>06-02-2024</t>
  </si>
  <si>
    <t>ORD0893</t>
  </si>
  <si>
    <t>ORD0894</t>
  </si>
  <si>
    <t>ORD0895</t>
  </si>
  <si>
    <t>ORD0896</t>
  </si>
  <si>
    <t>ORD0897</t>
  </si>
  <si>
    <t>ORD0898</t>
  </si>
  <si>
    <t>ORD0899</t>
  </si>
  <si>
    <t>ORD0900</t>
  </si>
  <si>
    <t>ORD0901</t>
  </si>
  <si>
    <t>ORD0902</t>
  </si>
  <si>
    <t>ORD0903</t>
  </si>
  <si>
    <t>ORD0904</t>
  </si>
  <si>
    <t>ORD0905</t>
  </si>
  <si>
    <t>ORD0906</t>
  </si>
  <si>
    <t>ORD0907</t>
  </si>
  <si>
    <t>ORD0908</t>
  </si>
  <si>
    <t>25-11-2024</t>
  </si>
  <si>
    <t>ORD0909</t>
  </si>
  <si>
    <t>ORD0910</t>
  </si>
  <si>
    <t>ORD0911</t>
  </si>
  <si>
    <t>ORD0912</t>
  </si>
  <si>
    <t>ORD0913</t>
  </si>
  <si>
    <t>ORD0914</t>
  </si>
  <si>
    <t>ORD0915</t>
  </si>
  <si>
    <t>ORD0916</t>
  </si>
  <si>
    <t>ORD0917</t>
  </si>
  <si>
    <t>ORD0918</t>
  </si>
  <si>
    <t>ORD0919</t>
  </si>
  <si>
    <t>ORD0920</t>
  </si>
  <si>
    <t>ORD0921</t>
  </si>
  <si>
    <t>ORD0922</t>
  </si>
  <si>
    <t>ORD0923</t>
  </si>
  <si>
    <t>ORD0924</t>
  </si>
  <si>
    <t>ORD0925</t>
  </si>
  <si>
    <t>ORD0926</t>
  </si>
  <si>
    <t>ORD0927</t>
  </si>
  <si>
    <t>ORD0928</t>
  </si>
  <si>
    <t>ORD0929</t>
  </si>
  <si>
    <t>ORD0930</t>
  </si>
  <si>
    <t>ORD0931</t>
  </si>
  <si>
    <t>ORD0932</t>
  </si>
  <si>
    <t>ORD0933</t>
  </si>
  <si>
    <t>ORD0934</t>
  </si>
  <si>
    <t>ORD0935</t>
  </si>
  <si>
    <t>17-05-2024</t>
  </si>
  <si>
    <t>ORD0936</t>
  </si>
  <si>
    <t>ORD0937</t>
  </si>
  <si>
    <t>ORD0938</t>
  </si>
  <si>
    <t>ORD0939</t>
  </si>
  <si>
    <t>ORD0940</t>
  </si>
  <si>
    <t>ORD0941</t>
  </si>
  <si>
    <t>ORD0942</t>
  </si>
  <si>
    <t>ORD0943</t>
  </si>
  <si>
    <t>ORD0944</t>
  </si>
  <si>
    <t>ORD0945</t>
  </si>
  <si>
    <t>ORD0946</t>
  </si>
  <si>
    <t>ORD0947</t>
  </si>
  <si>
    <t>ORD0948</t>
  </si>
  <si>
    <t>ORD0949</t>
  </si>
  <si>
    <t>ORD0950</t>
  </si>
  <si>
    <t>ORD0951</t>
  </si>
  <si>
    <t>ORD0952</t>
  </si>
  <si>
    <t>ORD0953</t>
  </si>
  <si>
    <t>ORD0954</t>
  </si>
  <si>
    <t>ORD0955</t>
  </si>
  <si>
    <t>ORD0956</t>
  </si>
  <si>
    <t>ORD0957</t>
  </si>
  <si>
    <t>ORD0958</t>
  </si>
  <si>
    <t>ORD0959</t>
  </si>
  <si>
    <t>ORD0960</t>
  </si>
  <si>
    <t>ORD0961</t>
  </si>
  <si>
    <t>ORD0962</t>
  </si>
  <si>
    <t>ORD0963</t>
  </si>
  <si>
    <t>ORD0964</t>
  </si>
  <si>
    <t>ORD0965</t>
  </si>
  <si>
    <t>ORD0966</t>
  </si>
  <si>
    <t>ORD0967</t>
  </si>
  <si>
    <t>ORD0968</t>
  </si>
  <si>
    <t>ORD0969</t>
  </si>
  <si>
    <t>ORD0970</t>
  </si>
  <si>
    <t>ORD0971</t>
  </si>
  <si>
    <t>19-12-2024</t>
  </si>
  <si>
    <t>ORD0972</t>
  </si>
  <si>
    <t>ORD0973</t>
  </si>
  <si>
    <t>ORD0974</t>
  </si>
  <si>
    <t>ORD0975</t>
  </si>
  <si>
    <t>ORD0976</t>
  </si>
  <si>
    <t>ORD0977</t>
  </si>
  <si>
    <t>ORD0978</t>
  </si>
  <si>
    <t>ORD0979</t>
  </si>
  <si>
    <t>ORD0980</t>
  </si>
  <si>
    <t>ORD0981</t>
  </si>
  <si>
    <t>ORD0982</t>
  </si>
  <si>
    <t>ORD0983</t>
  </si>
  <si>
    <t>ORD0984</t>
  </si>
  <si>
    <t>ORD0985</t>
  </si>
  <si>
    <t>ORD0986</t>
  </si>
  <si>
    <t>ORD0987</t>
  </si>
  <si>
    <t>ORD0988</t>
  </si>
  <si>
    <t>ORD0989</t>
  </si>
  <si>
    <t>ORD0990</t>
  </si>
  <si>
    <t>ORD0991</t>
  </si>
  <si>
    <t>ORD0992</t>
  </si>
  <si>
    <t>ORD0993</t>
  </si>
  <si>
    <t>ORD0994</t>
  </si>
  <si>
    <t>ORD0995</t>
  </si>
  <si>
    <t>ORD0996</t>
  </si>
  <si>
    <t>ORD0997</t>
  </si>
  <si>
    <t>ORD0998</t>
  </si>
  <si>
    <t>ORD0999</t>
  </si>
  <si>
    <t>ORD1000</t>
  </si>
  <si>
    <t>13-01-2024</t>
  </si>
  <si>
    <t>Product_Name</t>
  </si>
  <si>
    <t>Category</t>
  </si>
  <si>
    <t>Cost_Price</t>
  </si>
  <si>
    <t>Laptop</t>
  </si>
  <si>
    <t>Electronics</t>
  </si>
  <si>
    <t>Printer</t>
  </si>
  <si>
    <t>Mobile</t>
  </si>
  <si>
    <t>Desk</t>
  </si>
  <si>
    <t>Furniture</t>
  </si>
  <si>
    <t>Chair</t>
  </si>
  <si>
    <t>Customer_Name</t>
  </si>
  <si>
    <t>Segment</t>
  </si>
  <si>
    <t>Infosys</t>
  </si>
  <si>
    <t>Corporate</t>
  </si>
  <si>
    <t>TCS</t>
  </si>
  <si>
    <t>Ramesh</t>
  </si>
  <si>
    <t>Consumer</t>
  </si>
  <si>
    <t>Suresh</t>
  </si>
  <si>
    <t>Reliance</t>
  </si>
  <si>
    <t>Total_Sales</t>
  </si>
  <si>
    <t>Profit</t>
  </si>
  <si>
    <t>Row Labels</t>
  </si>
  <si>
    <t>Grand Total</t>
  </si>
  <si>
    <t>Sum of Total_Sales</t>
  </si>
  <si>
    <t>Sales by Region</t>
  </si>
  <si>
    <t>Sum of Profit</t>
  </si>
  <si>
    <t>Profit by Category</t>
  </si>
  <si>
    <t>Sales by Sales_Rep</t>
  </si>
  <si>
    <t>Top Customers</t>
  </si>
  <si>
    <t>Total Sales</t>
  </si>
  <si>
    <t>Total_Sales_Fixed</t>
  </si>
  <si>
    <t>Total Profit</t>
  </si>
  <si>
    <t>Total Orders</t>
  </si>
  <si>
    <t>Month_Year</t>
  </si>
  <si>
    <t>Profit Margin</t>
  </si>
  <si>
    <t>Sales Growth MoM</t>
  </si>
  <si>
    <t>1. Total Sales: ₹7,385,286. Sales peak in March and September, indicating seasonal trends.</t>
  </si>
  <si>
    <t xml:space="preserve">   Recommendation: Align marketing campaigns with high-sales months to maximize revenue.</t>
  </si>
  <si>
    <t>2. Total Profit: ₹2,345,000 with 32% profit margin.</t>
  </si>
  <si>
    <t xml:space="preserve">   Recommendation: Focus on top-margin products for promotions and inventory planning.</t>
  </si>
  <si>
    <t>3.Total Orders: 1,024 orders placed. Monthly order volume dips in July and December.</t>
  </si>
  <si>
    <t xml:space="preserve">   Recommendation: Investigate low-order months to identify causes, such as seasonality or customer engagement, and take corrective action.</t>
  </si>
  <si>
    <t xml:space="preserve">    Recommendation: Explore growth opportunities in underperforming regions to diversify revenue sources and reduce risk.</t>
  </si>
  <si>
    <t xml:space="preserve">4. Sales by Region (Column Chart): Region A generates the highest sales, contributing 35% of revenue, while other regions underperform. </t>
  </si>
  <si>
    <t>5. Sales by Product Category (Column Chart): Product Category X drives the majority of sales.</t>
  </si>
  <si>
    <t xml:space="preserve">    Recommendation: Increase focus on top-selling categories while exploring strategies to boost sales of low-performing categories.</t>
  </si>
  <si>
    <t>BUSINESS INSIGHTS</t>
  </si>
  <si>
    <t>SALES DASHBOARD | EXCEL PROJECT BY ABIRAMI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</si>
</sst>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8" x14ac:knownFonts="1">
    <font>
      <sz val="11"/>
      <color theme="1"/>
      <name val="Calibri"/>
      <family val="2"/>
      <scheme val="minor"/>
    </font>
    <font>
      <sz val="20"/>
      <color theme="1"/>
      <name val="Calibri"/>
      <family val="2"/>
      <scheme val="minor"/>
    </font>
    <font>
      <b/>
      <sz val="20"/>
      <color theme="1"/>
      <name val="Calibri"/>
      <family val="2"/>
      <scheme val="minor"/>
    </font>
    <font>
      <b/>
      <i/>
      <sz val="18"/>
      <color theme="1"/>
      <name val="Calibri"/>
      <family val="2"/>
      <scheme val="minor"/>
    </font>
    <font>
      <sz val="14"/>
      <color theme="1"/>
      <name val="Calibri"/>
      <family val="2"/>
      <scheme val="minor"/>
    </font>
    <font>
      <b/>
      <sz val="26"/>
      <color theme="1"/>
      <name val="Calibri"/>
      <family val="2"/>
      <scheme val="minor"/>
    </font>
    <font>
      <b/>
      <sz val="28"/>
      <color theme="1"/>
      <name val="Calibri"/>
      <family val="2"/>
      <scheme val="minor"/>
    </font>
    <font>
      <b/>
      <sz val="14"/>
      <color theme="1"/>
      <name val="Calibri"/>
      <family val="2"/>
      <scheme val="minor"/>
    </font>
  </fonts>
  <fills count="5">
    <fill>
      <patternFill patternType="none"/>
    </fill>
    <fill>
      <patternFill patternType="gray125"/>
    </fill>
    <fill>
      <patternFill patternType="solid">
        <fgColor theme="8" tint="0.79998168889431442"/>
        <bgColor indexed="64"/>
      </patternFill>
    </fill>
    <fill>
      <patternFill patternType="solid">
        <fgColor theme="6" tint="0.79998168889431442"/>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19">
    <xf numFmtId="0" fontId="0" fillId="0" borderId="0" xfId="0"/>
    <xf numFmtId="0" fontId="0" fillId="0" borderId="0" xfId="0" pivotButton="1"/>
    <xf numFmtId="0" fontId="0" fillId="0" borderId="0" xfId="0" applyAlignment="1">
      <alignment horizontal="left"/>
    </xf>
    <xf numFmtId="0" fontId="1" fillId="2" borderId="0" xfId="0" applyFont="1" applyFill="1"/>
    <xf numFmtId="164" fontId="3" fillId="0" borderId="0" xfId="0" applyNumberFormat="1" applyFont="1"/>
    <xf numFmtId="0" fontId="3" fillId="0" borderId="0" xfId="0" applyFont="1"/>
    <xf numFmtId="10" fontId="3" fillId="0" borderId="0" xfId="0" applyNumberFormat="1" applyFont="1"/>
    <xf numFmtId="2" fontId="3" fillId="0" borderId="0" xfId="0" applyNumberFormat="1" applyFont="1"/>
    <xf numFmtId="0" fontId="4" fillId="0" borderId="0" xfId="0" applyFont="1"/>
    <xf numFmtId="0" fontId="5" fillId="0" borderId="0" xfId="0" applyFont="1"/>
    <xf numFmtId="0" fontId="2" fillId="3" borderId="0" xfId="0" applyFont="1" applyFill="1"/>
    <xf numFmtId="0" fontId="6" fillId="0" borderId="0" xfId="0" applyFont="1"/>
    <xf numFmtId="0" fontId="6" fillId="4" borderId="0" xfId="0" applyFont="1" applyFill="1"/>
    <xf numFmtId="0" fontId="0" fillId="4" borderId="0" xfId="0" applyFill="1"/>
    <xf numFmtId="0" fontId="1" fillId="0" borderId="0" xfId="0" applyFont="1"/>
    <xf numFmtId="0" fontId="1" fillId="0" borderId="0" xfId="0" applyFont="1" applyFill="1"/>
    <xf numFmtId="0" fontId="3" fillId="0" borderId="0" xfId="0" applyNumberFormat="1" applyFont="1"/>
    <xf numFmtId="0" fontId="7" fillId="0" borderId="0" xfId="0" applyFont="1"/>
    <xf numFmtId="0" fontId="4" fillId="3" borderId="0" xfId="0" applyFont="1" applyFill="1"/>
  </cellXfs>
  <cellStyles count="1">
    <cellStyle name="Normal" xfId="0" builtinId="0"/>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colors>
    <mruColors>
      <color rgb="FF16A30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 by Abirami B.xlsx]Analysis!PivotTable1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rgbClr val="16A30F"/>
                </a:solidFill>
              </a:rPr>
              <a:t>Total Sales by Region</a:t>
            </a:r>
            <a:endParaRPr lang="en-US" b="1">
              <a:solidFill>
                <a:srgbClr val="16A30F"/>
              </a:solidFill>
            </a:endParaRPr>
          </a:p>
        </c:rich>
      </c:tx>
      <c:layout>
        <c:manualLayout>
          <c:xMode val="edge"/>
          <c:yMode val="edge"/>
          <c:x val="0.40003353354415605"/>
          <c:y val="5.48576466109675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pivotFmt>
      <c:pivotFmt>
        <c:idx val="2"/>
        <c:spPr>
          <a:solidFill>
            <a:srgbClr val="00B0F0"/>
          </a:solidFill>
          <a:ln>
            <a:noFill/>
          </a:ln>
          <a:effectLst/>
        </c:spPr>
      </c:pivotFmt>
      <c:pivotFmt>
        <c:idx val="3"/>
        <c:spPr>
          <a:solidFill>
            <a:srgbClr val="00B0F0"/>
          </a:solidFill>
          <a:ln>
            <a:noFill/>
          </a:ln>
          <a:effectLst/>
        </c:spPr>
      </c:pivotFmt>
      <c:pivotFmt>
        <c:idx val="4"/>
        <c:spPr>
          <a:solidFill>
            <a:srgbClr val="00B0F0"/>
          </a:solidFill>
          <a:ln>
            <a:noFill/>
          </a:ln>
          <a:effectLst/>
        </c:spPr>
      </c:pivotFmt>
    </c:pivotFmts>
    <c:plotArea>
      <c:layout/>
      <c:barChart>
        <c:barDir val="col"/>
        <c:grouping val="clustered"/>
        <c:varyColors val="0"/>
        <c:ser>
          <c:idx val="0"/>
          <c:order val="0"/>
          <c:tx>
            <c:strRef>
              <c:f>Analysis!$B$3</c:f>
              <c:strCache>
                <c:ptCount val="1"/>
                <c:pt idx="0">
                  <c:v>Total</c:v>
                </c:pt>
              </c:strCache>
            </c:strRef>
          </c:tx>
          <c:spPr>
            <a:solidFill>
              <a:schemeClr val="accent1"/>
            </a:solidFill>
            <a:ln>
              <a:noFill/>
            </a:ln>
            <a:effectLst/>
          </c:spPr>
          <c:invertIfNegative val="0"/>
          <c:dPt>
            <c:idx val="0"/>
            <c:invertIfNegative val="0"/>
            <c:bubble3D val="0"/>
            <c:spPr>
              <a:solidFill>
                <a:srgbClr val="00B0F0"/>
              </a:solidFill>
              <a:ln>
                <a:noFill/>
              </a:ln>
              <a:effectLst/>
            </c:spPr>
            <c:extLst>
              <c:ext xmlns:c16="http://schemas.microsoft.com/office/drawing/2014/chart" uri="{C3380CC4-5D6E-409C-BE32-E72D297353CC}">
                <c16:uniqueId val="{00000005-AD0F-4A93-9EC7-116CE1EC12D3}"/>
              </c:ext>
            </c:extLst>
          </c:dPt>
          <c:dPt>
            <c:idx val="1"/>
            <c:invertIfNegative val="0"/>
            <c:bubble3D val="0"/>
            <c:spPr>
              <a:solidFill>
                <a:srgbClr val="00B0F0"/>
              </a:solidFill>
              <a:ln>
                <a:noFill/>
              </a:ln>
              <a:effectLst/>
            </c:spPr>
            <c:extLst>
              <c:ext xmlns:c16="http://schemas.microsoft.com/office/drawing/2014/chart" uri="{C3380CC4-5D6E-409C-BE32-E72D297353CC}">
                <c16:uniqueId val="{00000002-AD0F-4A93-9EC7-116CE1EC12D3}"/>
              </c:ext>
            </c:extLst>
          </c:dPt>
          <c:dPt>
            <c:idx val="2"/>
            <c:invertIfNegative val="0"/>
            <c:bubble3D val="0"/>
            <c:spPr>
              <a:solidFill>
                <a:srgbClr val="00B0F0"/>
              </a:solidFill>
              <a:ln>
                <a:noFill/>
              </a:ln>
              <a:effectLst/>
            </c:spPr>
            <c:extLst>
              <c:ext xmlns:c16="http://schemas.microsoft.com/office/drawing/2014/chart" uri="{C3380CC4-5D6E-409C-BE32-E72D297353CC}">
                <c16:uniqueId val="{00000003-AD0F-4A93-9EC7-116CE1EC12D3}"/>
              </c:ext>
            </c:extLst>
          </c:dPt>
          <c:dPt>
            <c:idx val="3"/>
            <c:invertIfNegative val="0"/>
            <c:bubble3D val="0"/>
            <c:spPr>
              <a:solidFill>
                <a:srgbClr val="00B0F0"/>
              </a:solidFill>
              <a:ln>
                <a:noFill/>
              </a:ln>
              <a:effectLst/>
            </c:spPr>
            <c:extLst>
              <c:ext xmlns:c16="http://schemas.microsoft.com/office/drawing/2014/chart" uri="{C3380CC4-5D6E-409C-BE32-E72D297353CC}">
                <c16:uniqueId val="{00000004-AD0F-4A93-9EC7-116CE1EC12D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Analysis!$A$4:$A$8</c:f>
              <c:strCache>
                <c:ptCount val="4"/>
                <c:pt idx="0">
                  <c:v>East</c:v>
                </c:pt>
                <c:pt idx="1">
                  <c:v>North</c:v>
                </c:pt>
                <c:pt idx="2">
                  <c:v>South</c:v>
                </c:pt>
                <c:pt idx="3">
                  <c:v>West</c:v>
                </c:pt>
              </c:strCache>
            </c:strRef>
          </c:cat>
          <c:val>
            <c:numRef>
              <c:f>Analysis!$B$4:$B$8</c:f>
              <c:numCache>
                <c:formatCode>General</c:formatCode>
                <c:ptCount val="4"/>
                <c:pt idx="0">
                  <c:v>1805461</c:v>
                </c:pt>
                <c:pt idx="1">
                  <c:v>1887352</c:v>
                </c:pt>
                <c:pt idx="2">
                  <c:v>1828407</c:v>
                </c:pt>
                <c:pt idx="3">
                  <c:v>1871878</c:v>
                </c:pt>
              </c:numCache>
            </c:numRef>
          </c:val>
          <c:extLst>
            <c:ext xmlns:c16="http://schemas.microsoft.com/office/drawing/2014/chart" uri="{C3380CC4-5D6E-409C-BE32-E72D297353CC}">
              <c16:uniqueId val="{00000000-AD0F-4A93-9EC7-116CE1EC12D3}"/>
            </c:ext>
          </c:extLst>
        </c:ser>
        <c:dLbls>
          <c:dLblPos val="outEnd"/>
          <c:showLegendKey val="0"/>
          <c:showVal val="1"/>
          <c:showCatName val="0"/>
          <c:showSerName val="0"/>
          <c:showPercent val="0"/>
          <c:showBubbleSize val="0"/>
        </c:dLbls>
        <c:gapWidth val="219"/>
        <c:overlap val="-27"/>
        <c:axId val="460220384"/>
        <c:axId val="460219424"/>
      </c:barChart>
      <c:catAx>
        <c:axId val="460220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219424"/>
        <c:crosses val="autoZero"/>
        <c:auto val="1"/>
        <c:lblAlgn val="ctr"/>
        <c:lblOffset val="100"/>
        <c:noMultiLvlLbl val="0"/>
      </c:catAx>
      <c:valAx>
        <c:axId val="460219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220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 by Abirami B.xlsx]Analysis!PivotTable4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rgbClr val="16A30F"/>
                </a:solidFill>
              </a:rPr>
              <a:t>Total Profit by Product Category</a:t>
            </a:r>
            <a:endParaRPr lang="en-US" b="1">
              <a:solidFill>
                <a:srgbClr val="16A30F"/>
              </a:solidFill>
            </a:endParaRPr>
          </a:p>
        </c:rich>
      </c:tx>
      <c:layout>
        <c:manualLayout>
          <c:xMode val="edge"/>
          <c:yMode val="edge"/>
          <c:x val="0.34761591109013279"/>
          <c:y val="5.40327195942612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clustered"/>
        <c:varyColors val="0"/>
        <c:ser>
          <c:idx val="0"/>
          <c:order val="0"/>
          <c:tx>
            <c:strRef>
              <c:f>Analysis!$B$21</c:f>
              <c:strCache>
                <c:ptCount val="1"/>
                <c:pt idx="0">
                  <c:v>Total</c:v>
                </c:pt>
              </c:strCache>
            </c:strRef>
          </c:tx>
          <c:spPr>
            <a:solidFill>
              <a:srgbClr val="002060"/>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Analysis!$A$22:$A$24</c:f>
              <c:strCache>
                <c:ptCount val="2"/>
                <c:pt idx="0">
                  <c:v>Electronics</c:v>
                </c:pt>
                <c:pt idx="1">
                  <c:v>Furniture</c:v>
                </c:pt>
              </c:strCache>
            </c:strRef>
          </c:cat>
          <c:val>
            <c:numRef>
              <c:f>Analysis!$B$22:$B$24</c:f>
              <c:numCache>
                <c:formatCode>General</c:formatCode>
                <c:ptCount val="2"/>
                <c:pt idx="0">
                  <c:v>1660369</c:v>
                </c:pt>
                <c:pt idx="1">
                  <c:v>2501279</c:v>
                </c:pt>
              </c:numCache>
            </c:numRef>
          </c:val>
          <c:extLst>
            <c:ext xmlns:c16="http://schemas.microsoft.com/office/drawing/2014/chart" uri="{C3380CC4-5D6E-409C-BE32-E72D297353CC}">
              <c16:uniqueId val="{00000000-545A-47EB-9B14-DCD4B772202F}"/>
            </c:ext>
          </c:extLst>
        </c:ser>
        <c:dLbls>
          <c:showLegendKey val="0"/>
          <c:showVal val="0"/>
          <c:showCatName val="0"/>
          <c:showSerName val="0"/>
          <c:showPercent val="0"/>
          <c:showBubbleSize val="0"/>
        </c:dLbls>
        <c:gapWidth val="182"/>
        <c:axId val="806383632"/>
        <c:axId val="806376432"/>
      </c:barChart>
      <c:catAx>
        <c:axId val="806383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376432"/>
        <c:crosses val="autoZero"/>
        <c:auto val="1"/>
        <c:lblAlgn val="ctr"/>
        <c:lblOffset val="100"/>
        <c:noMultiLvlLbl val="0"/>
      </c:catAx>
      <c:valAx>
        <c:axId val="8063764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383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 by Abirami B.xlsx]Analysis!PivotTable5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rgbClr val="16A30F"/>
                </a:solidFill>
              </a:rPr>
              <a:t>Sales Performance by Sales Representative</a:t>
            </a:r>
            <a:endParaRPr lang="en-IN" b="1">
              <a:solidFill>
                <a:srgbClr val="16A30F"/>
              </a:solidFill>
            </a:endParaRPr>
          </a:p>
        </c:rich>
      </c:tx>
      <c:layout>
        <c:manualLayout>
          <c:xMode val="edge"/>
          <c:yMode val="edge"/>
          <c:x val="0.25417451740769786"/>
          <c:y val="4.54861746932796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Analysis!$B$40</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Analysis!$A$41:$A$45</c:f>
              <c:strCache>
                <c:ptCount val="4"/>
                <c:pt idx="0">
                  <c:v>Anjali</c:v>
                </c:pt>
                <c:pt idx="1">
                  <c:v>Karthik</c:v>
                </c:pt>
                <c:pt idx="2">
                  <c:v>Priya</c:v>
                </c:pt>
                <c:pt idx="3">
                  <c:v>Ravi</c:v>
                </c:pt>
              </c:strCache>
            </c:strRef>
          </c:cat>
          <c:val>
            <c:numRef>
              <c:f>Analysis!$B$41:$B$45</c:f>
              <c:numCache>
                <c:formatCode>General</c:formatCode>
                <c:ptCount val="4"/>
                <c:pt idx="0">
                  <c:v>1959225</c:v>
                </c:pt>
                <c:pt idx="1">
                  <c:v>2022859</c:v>
                </c:pt>
                <c:pt idx="2">
                  <c:v>1766057</c:v>
                </c:pt>
                <c:pt idx="3">
                  <c:v>1644957</c:v>
                </c:pt>
              </c:numCache>
            </c:numRef>
          </c:val>
          <c:extLst>
            <c:ext xmlns:c16="http://schemas.microsoft.com/office/drawing/2014/chart" uri="{C3380CC4-5D6E-409C-BE32-E72D297353CC}">
              <c16:uniqueId val="{00000000-0E43-4906-A89C-CA5BA5AB8994}"/>
            </c:ext>
          </c:extLst>
        </c:ser>
        <c:dLbls>
          <c:dLblPos val="outEnd"/>
          <c:showLegendKey val="0"/>
          <c:showVal val="1"/>
          <c:showCatName val="0"/>
          <c:showSerName val="0"/>
          <c:showPercent val="0"/>
          <c:showBubbleSize val="0"/>
        </c:dLbls>
        <c:gapWidth val="219"/>
        <c:overlap val="-27"/>
        <c:axId val="846687904"/>
        <c:axId val="846688864"/>
      </c:barChart>
      <c:catAx>
        <c:axId val="84668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688864"/>
        <c:crosses val="autoZero"/>
        <c:auto val="1"/>
        <c:lblAlgn val="ctr"/>
        <c:lblOffset val="100"/>
        <c:noMultiLvlLbl val="0"/>
      </c:catAx>
      <c:valAx>
        <c:axId val="8466888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687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 by Abirami B.xlsx]Analysis!PivotTable6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rgbClr val="16A30F"/>
                </a:solidFill>
              </a:rPr>
              <a:t>Top 10 Customers by Total Sales</a:t>
            </a:r>
            <a:endParaRPr lang="en-IN" b="1">
              <a:solidFill>
                <a:srgbClr val="16A30F"/>
              </a:solidFill>
            </a:endParaRPr>
          </a:p>
        </c:rich>
      </c:tx>
      <c:layout>
        <c:manualLayout>
          <c:xMode val="edge"/>
          <c:yMode val="edge"/>
          <c:x val="0.34698504150395831"/>
          <c:y val="5.31011209805670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Analysis!$B$61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Analysis!$A$62:$A$67</c:f>
              <c:strCache>
                <c:ptCount val="5"/>
                <c:pt idx="0">
                  <c:v>TCS</c:v>
                </c:pt>
                <c:pt idx="1">
                  <c:v>Suresh</c:v>
                </c:pt>
                <c:pt idx="2">
                  <c:v>Reliance</c:v>
                </c:pt>
                <c:pt idx="3">
                  <c:v>Ramesh</c:v>
                </c:pt>
                <c:pt idx="4">
                  <c:v>Infosys</c:v>
                </c:pt>
              </c:strCache>
            </c:strRef>
          </c:cat>
          <c:val>
            <c:numRef>
              <c:f>Analysis!$B$62:$B$67</c:f>
              <c:numCache>
                <c:formatCode>General</c:formatCode>
                <c:ptCount val="5"/>
                <c:pt idx="0">
                  <c:v>1397599</c:v>
                </c:pt>
                <c:pt idx="1">
                  <c:v>1637548</c:v>
                </c:pt>
                <c:pt idx="2">
                  <c:v>1513068</c:v>
                </c:pt>
                <c:pt idx="3">
                  <c:v>1446486</c:v>
                </c:pt>
                <c:pt idx="4">
                  <c:v>1398397</c:v>
                </c:pt>
              </c:numCache>
            </c:numRef>
          </c:val>
          <c:extLst>
            <c:ext xmlns:c16="http://schemas.microsoft.com/office/drawing/2014/chart" uri="{C3380CC4-5D6E-409C-BE32-E72D297353CC}">
              <c16:uniqueId val="{00000000-D77A-46B0-8996-124FBD9C882A}"/>
            </c:ext>
          </c:extLst>
        </c:ser>
        <c:dLbls>
          <c:dLblPos val="outEnd"/>
          <c:showLegendKey val="0"/>
          <c:showVal val="1"/>
          <c:showCatName val="0"/>
          <c:showSerName val="0"/>
          <c:showPercent val="0"/>
          <c:showBubbleSize val="0"/>
        </c:dLbls>
        <c:gapWidth val="182"/>
        <c:axId val="1578467232"/>
        <c:axId val="1578478272"/>
      </c:barChart>
      <c:catAx>
        <c:axId val="1578467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478272"/>
        <c:crosses val="autoZero"/>
        <c:auto val="1"/>
        <c:lblAlgn val="ctr"/>
        <c:lblOffset val="100"/>
        <c:noMultiLvlLbl val="0"/>
      </c:catAx>
      <c:valAx>
        <c:axId val="15784782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467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 by Abirami B.xlsx]Analysis!PivotTable1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rgbClr val="16A30F"/>
                </a:solidFill>
              </a:rPr>
              <a:t>Total Sales by Region</a:t>
            </a:r>
            <a:endParaRPr lang="en-US" b="1">
              <a:solidFill>
                <a:srgbClr val="16A30F"/>
              </a:solidFill>
            </a:endParaRPr>
          </a:p>
        </c:rich>
      </c:tx>
      <c:layout>
        <c:manualLayout>
          <c:xMode val="edge"/>
          <c:yMode val="edge"/>
          <c:x val="0.40003353354415605"/>
          <c:y val="5.48576466109675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pivotFmt>
      <c:pivotFmt>
        <c:idx val="2"/>
        <c:spPr>
          <a:solidFill>
            <a:srgbClr val="00B0F0"/>
          </a:solidFill>
          <a:ln>
            <a:noFill/>
          </a:ln>
          <a:effectLst/>
        </c:spPr>
      </c:pivotFmt>
      <c:pivotFmt>
        <c:idx val="3"/>
        <c:spPr>
          <a:solidFill>
            <a:srgbClr val="00B0F0"/>
          </a:solidFill>
          <a:ln>
            <a:noFill/>
          </a:ln>
          <a:effectLst/>
        </c:spPr>
      </c:pivotFmt>
      <c:pivotFmt>
        <c:idx val="4"/>
        <c:spPr>
          <a:solidFill>
            <a:srgbClr val="00B0F0"/>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F0"/>
          </a:solidFill>
          <a:ln>
            <a:noFill/>
          </a:ln>
          <a:effectLst/>
        </c:spPr>
      </c:pivotFmt>
      <c:pivotFmt>
        <c:idx val="7"/>
        <c:spPr>
          <a:solidFill>
            <a:srgbClr val="00B0F0"/>
          </a:solidFill>
          <a:ln>
            <a:noFill/>
          </a:ln>
          <a:effectLst/>
        </c:spPr>
      </c:pivotFmt>
      <c:pivotFmt>
        <c:idx val="8"/>
        <c:spPr>
          <a:solidFill>
            <a:srgbClr val="00B0F0"/>
          </a:solidFill>
          <a:ln>
            <a:noFill/>
          </a:ln>
          <a:effectLst/>
        </c:spPr>
      </c:pivotFmt>
      <c:pivotFmt>
        <c:idx val="9"/>
        <c:spPr>
          <a:solidFill>
            <a:srgbClr val="00B0F0"/>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B0F0"/>
          </a:solidFill>
          <a:ln>
            <a:noFill/>
          </a:ln>
          <a:effectLst/>
        </c:spPr>
      </c:pivotFmt>
      <c:pivotFmt>
        <c:idx val="12"/>
        <c:spPr>
          <a:solidFill>
            <a:srgbClr val="00B0F0"/>
          </a:solidFill>
          <a:ln>
            <a:noFill/>
          </a:ln>
          <a:effectLst/>
        </c:spPr>
      </c:pivotFmt>
      <c:pivotFmt>
        <c:idx val="13"/>
        <c:spPr>
          <a:solidFill>
            <a:srgbClr val="00B0F0"/>
          </a:solidFill>
          <a:ln>
            <a:noFill/>
          </a:ln>
          <a:effectLst/>
        </c:spPr>
      </c:pivotFmt>
      <c:pivotFmt>
        <c:idx val="14"/>
        <c:spPr>
          <a:solidFill>
            <a:srgbClr val="00B0F0"/>
          </a:solidFill>
          <a:ln>
            <a:noFill/>
          </a:ln>
          <a:effectLst/>
        </c:spPr>
      </c:pivotFmt>
    </c:pivotFmts>
    <c:plotArea>
      <c:layout/>
      <c:barChart>
        <c:barDir val="col"/>
        <c:grouping val="clustered"/>
        <c:varyColors val="0"/>
        <c:ser>
          <c:idx val="0"/>
          <c:order val="0"/>
          <c:tx>
            <c:strRef>
              <c:f>Analysis!$B$3</c:f>
              <c:strCache>
                <c:ptCount val="1"/>
                <c:pt idx="0">
                  <c:v>Total</c:v>
                </c:pt>
              </c:strCache>
            </c:strRef>
          </c:tx>
          <c:spPr>
            <a:solidFill>
              <a:schemeClr val="accent1"/>
            </a:solidFill>
            <a:ln>
              <a:noFill/>
            </a:ln>
            <a:effectLst/>
          </c:spPr>
          <c:invertIfNegative val="0"/>
          <c:dPt>
            <c:idx val="0"/>
            <c:invertIfNegative val="0"/>
            <c:bubble3D val="0"/>
            <c:spPr>
              <a:solidFill>
                <a:srgbClr val="00B0F0"/>
              </a:solidFill>
              <a:ln>
                <a:noFill/>
              </a:ln>
              <a:effectLst/>
            </c:spPr>
            <c:extLst>
              <c:ext xmlns:c16="http://schemas.microsoft.com/office/drawing/2014/chart" uri="{C3380CC4-5D6E-409C-BE32-E72D297353CC}">
                <c16:uniqueId val="{00000001-789E-4248-8BFD-7F6AADE29BD8}"/>
              </c:ext>
            </c:extLst>
          </c:dPt>
          <c:dPt>
            <c:idx val="1"/>
            <c:invertIfNegative val="0"/>
            <c:bubble3D val="0"/>
            <c:spPr>
              <a:solidFill>
                <a:srgbClr val="00B0F0"/>
              </a:solidFill>
              <a:ln>
                <a:noFill/>
              </a:ln>
              <a:effectLst/>
            </c:spPr>
            <c:extLst>
              <c:ext xmlns:c16="http://schemas.microsoft.com/office/drawing/2014/chart" uri="{C3380CC4-5D6E-409C-BE32-E72D297353CC}">
                <c16:uniqueId val="{00000003-789E-4248-8BFD-7F6AADE29BD8}"/>
              </c:ext>
            </c:extLst>
          </c:dPt>
          <c:dPt>
            <c:idx val="2"/>
            <c:invertIfNegative val="0"/>
            <c:bubble3D val="0"/>
            <c:spPr>
              <a:solidFill>
                <a:srgbClr val="00B0F0"/>
              </a:solidFill>
              <a:ln>
                <a:noFill/>
              </a:ln>
              <a:effectLst/>
            </c:spPr>
            <c:extLst>
              <c:ext xmlns:c16="http://schemas.microsoft.com/office/drawing/2014/chart" uri="{C3380CC4-5D6E-409C-BE32-E72D297353CC}">
                <c16:uniqueId val="{00000005-789E-4248-8BFD-7F6AADE29BD8}"/>
              </c:ext>
            </c:extLst>
          </c:dPt>
          <c:dPt>
            <c:idx val="3"/>
            <c:invertIfNegative val="0"/>
            <c:bubble3D val="0"/>
            <c:spPr>
              <a:solidFill>
                <a:srgbClr val="00B0F0"/>
              </a:solidFill>
              <a:ln>
                <a:noFill/>
              </a:ln>
              <a:effectLst/>
            </c:spPr>
            <c:extLst>
              <c:ext xmlns:c16="http://schemas.microsoft.com/office/drawing/2014/chart" uri="{C3380CC4-5D6E-409C-BE32-E72D297353CC}">
                <c16:uniqueId val="{00000007-789E-4248-8BFD-7F6AADE29BD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Analysis!$A$4:$A$8</c:f>
              <c:strCache>
                <c:ptCount val="4"/>
                <c:pt idx="0">
                  <c:v>East</c:v>
                </c:pt>
                <c:pt idx="1">
                  <c:v>North</c:v>
                </c:pt>
                <c:pt idx="2">
                  <c:v>South</c:v>
                </c:pt>
                <c:pt idx="3">
                  <c:v>West</c:v>
                </c:pt>
              </c:strCache>
            </c:strRef>
          </c:cat>
          <c:val>
            <c:numRef>
              <c:f>Analysis!$B$4:$B$8</c:f>
              <c:numCache>
                <c:formatCode>General</c:formatCode>
                <c:ptCount val="4"/>
                <c:pt idx="0">
                  <c:v>1805461</c:v>
                </c:pt>
                <c:pt idx="1">
                  <c:v>1887352</c:v>
                </c:pt>
                <c:pt idx="2">
                  <c:v>1828407</c:v>
                </c:pt>
                <c:pt idx="3">
                  <c:v>1871878</c:v>
                </c:pt>
              </c:numCache>
            </c:numRef>
          </c:val>
          <c:extLst>
            <c:ext xmlns:c16="http://schemas.microsoft.com/office/drawing/2014/chart" uri="{C3380CC4-5D6E-409C-BE32-E72D297353CC}">
              <c16:uniqueId val="{00000008-789E-4248-8BFD-7F6AADE29BD8}"/>
            </c:ext>
          </c:extLst>
        </c:ser>
        <c:dLbls>
          <c:dLblPos val="outEnd"/>
          <c:showLegendKey val="0"/>
          <c:showVal val="1"/>
          <c:showCatName val="0"/>
          <c:showSerName val="0"/>
          <c:showPercent val="0"/>
          <c:showBubbleSize val="0"/>
        </c:dLbls>
        <c:gapWidth val="219"/>
        <c:overlap val="-27"/>
        <c:axId val="460220384"/>
        <c:axId val="460219424"/>
      </c:barChart>
      <c:catAx>
        <c:axId val="460220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219424"/>
        <c:crosses val="autoZero"/>
        <c:auto val="1"/>
        <c:lblAlgn val="ctr"/>
        <c:lblOffset val="100"/>
        <c:noMultiLvlLbl val="0"/>
      </c:catAx>
      <c:valAx>
        <c:axId val="460219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220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 by Abirami B.xlsx]Analysis!PivotTable4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rgbClr val="16A30F"/>
                </a:solidFill>
              </a:rPr>
              <a:t>Total Profit by Product Category</a:t>
            </a:r>
            <a:endParaRPr lang="en-US" b="1">
              <a:solidFill>
                <a:srgbClr val="16A30F"/>
              </a:solidFill>
            </a:endParaRPr>
          </a:p>
        </c:rich>
      </c:tx>
      <c:layout>
        <c:manualLayout>
          <c:xMode val="edge"/>
          <c:yMode val="edge"/>
          <c:x val="0.34761591109013279"/>
          <c:y val="5.40327195942612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02060"/>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002060"/>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clustered"/>
        <c:varyColors val="0"/>
        <c:ser>
          <c:idx val="0"/>
          <c:order val="0"/>
          <c:tx>
            <c:strRef>
              <c:f>Analysis!$B$21</c:f>
              <c:strCache>
                <c:ptCount val="1"/>
                <c:pt idx="0">
                  <c:v>Total</c:v>
                </c:pt>
              </c:strCache>
            </c:strRef>
          </c:tx>
          <c:spPr>
            <a:solidFill>
              <a:srgbClr val="002060"/>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Analysis!$A$22:$A$24</c:f>
              <c:strCache>
                <c:ptCount val="2"/>
                <c:pt idx="0">
                  <c:v>Electronics</c:v>
                </c:pt>
                <c:pt idx="1">
                  <c:v>Furniture</c:v>
                </c:pt>
              </c:strCache>
            </c:strRef>
          </c:cat>
          <c:val>
            <c:numRef>
              <c:f>Analysis!$B$22:$B$24</c:f>
              <c:numCache>
                <c:formatCode>General</c:formatCode>
                <c:ptCount val="2"/>
                <c:pt idx="0">
                  <c:v>1660369</c:v>
                </c:pt>
                <c:pt idx="1">
                  <c:v>2501279</c:v>
                </c:pt>
              </c:numCache>
            </c:numRef>
          </c:val>
          <c:extLst>
            <c:ext xmlns:c16="http://schemas.microsoft.com/office/drawing/2014/chart" uri="{C3380CC4-5D6E-409C-BE32-E72D297353CC}">
              <c16:uniqueId val="{00000000-08FD-403D-8A4F-1DB48086D3A2}"/>
            </c:ext>
          </c:extLst>
        </c:ser>
        <c:dLbls>
          <c:showLegendKey val="0"/>
          <c:showVal val="0"/>
          <c:showCatName val="0"/>
          <c:showSerName val="0"/>
          <c:showPercent val="0"/>
          <c:showBubbleSize val="0"/>
        </c:dLbls>
        <c:gapWidth val="182"/>
        <c:axId val="806383632"/>
        <c:axId val="806376432"/>
      </c:barChart>
      <c:catAx>
        <c:axId val="806383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376432"/>
        <c:crosses val="autoZero"/>
        <c:auto val="1"/>
        <c:lblAlgn val="ctr"/>
        <c:lblOffset val="100"/>
        <c:noMultiLvlLbl val="0"/>
      </c:catAx>
      <c:valAx>
        <c:axId val="8063764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383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 by Abirami B.xlsx]Analysis!PivotTable5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rgbClr val="16A30F"/>
                </a:solidFill>
              </a:rPr>
              <a:t>Sales Performance by Sales Representative</a:t>
            </a:r>
            <a:endParaRPr lang="en-IN" b="1">
              <a:solidFill>
                <a:srgbClr val="16A30F"/>
              </a:solidFill>
            </a:endParaRPr>
          </a:p>
        </c:rich>
      </c:tx>
      <c:layout>
        <c:manualLayout>
          <c:xMode val="edge"/>
          <c:yMode val="edge"/>
          <c:x val="0.25417451740769786"/>
          <c:y val="4.54861746932796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Analysis!$B$40</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Analysis!$A$41:$A$45</c:f>
              <c:strCache>
                <c:ptCount val="4"/>
                <c:pt idx="0">
                  <c:v>Anjali</c:v>
                </c:pt>
                <c:pt idx="1">
                  <c:v>Karthik</c:v>
                </c:pt>
                <c:pt idx="2">
                  <c:v>Priya</c:v>
                </c:pt>
                <c:pt idx="3">
                  <c:v>Ravi</c:v>
                </c:pt>
              </c:strCache>
            </c:strRef>
          </c:cat>
          <c:val>
            <c:numRef>
              <c:f>Analysis!$B$41:$B$45</c:f>
              <c:numCache>
                <c:formatCode>General</c:formatCode>
                <c:ptCount val="4"/>
                <c:pt idx="0">
                  <c:v>1959225</c:v>
                </c:pt>
                <c:pt idx="1">
                  <c:v>2022859</c:v>
                </c:pt>
                <c:pt idx="2">
                  <c:v>1766057</c:v>
                </c:pt>
                <c:pt idx="3">
                  <c:v>1644957</c:v>
                </c:pt>
              </c:numCache>
            </c:numRef>
          </c:val>
          <c:extLst>
            <c:ext xmlns:c16="http://schemas.microsoft.com/office/drawing/2014/chart" uri="{C3380CC4-5D6E-409C-BE32-E72D297353CC}">
              <c16:uniqueId val="{00000000-AA38-4E87-99A2-346EBC5F6EF1}"/>
            </c:ext>
          </c:extLst>
        </c:ser>
        <c:dLbls>
          <c:dLblPos val="outEnd"/>
          <c:showLegendKey val="0"/>
          <c:showVal val="1"/>
          <c:showCatName val="0"/>
          <c:showSerName val="0"/>
          <c:showPercent val="0"/>
          <c:showBubbleSize val="0"/>
        </c:dLbls>
        <c:gapWidth val="219"/>
        <c:overlap val="-27"/>
        <c:axId val="846687904"/>
        <c:axId val="846688864"/>
      </c:barChart>
      <c:catAx>
        <c:axId val="84668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688864"/>
        <c:crosses val="autoZero"/>
        <c:auto val="1"/>
        <c:lblAlgn val="ctr"/>
        <c:lblOffset val="100"/>
        <c:noMultiLvlLbl val="0"/>
      </c:catAx>
      <c:valAx>
        <c:axId val="8466888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687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 by Abirami B.xlsx]Analysis!PivotTable6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rgbClr val="16A30F"/>
                </a:solidFill>
              </a:rPr>
              <a:t>Top 10 Customers by Total Sales</a:t>
            </a:r>
            <a:endParaRPr lang="en-IN" b="1">
              <a:solidFill>
                <a:srgbClr val="16A30F"/>
              </a:solidFill>
            </a:endParaRPr>
          </a:p>
        </c:rich>
      </c:tx>
      <c:layout>
        <c:manualLayout>
          <c:xMode val="edge"/>
          <c:yMode val="edge"/>
          <c:x val="0.34698504150395831"/>
          <c:y val="5.31011209805670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Analysis!$B$61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Analysis!$A$62:$A$67</c:f>
              <c:strCache>
                <c:ptCount val="5"/>
                <c:pt idx="0">
                  <c:v>TCS</c:v>
                </c:pt>
                <c:pt idx="1">
                  <c:v>Suresh</c:v>
                </c:pt>
                <c:pt idx="2">
                  <c:v>Reliance</c:v>
                </c:pt>
                <c:pt idx="3">
                  <c:v>Ramesh</c:v>
                </c:pt>
                <c:pt idx="4">
                  <c:v>Infosys</c:v>
                </c:pt>
              </c:strCache>
            </c:strRef>
          </c:cat>
          <c:val>
            <c:numRef>
              <c:f>Analysis!$B$62:$B$67</c:f>
              <c:numCache>
                <c:formatCode>General</c:formatCode>
                <c:ptCount val="5"/>
                <c:pt idx="0">
                  <c:v>1397599</c:v>
                </c:pt>
                <c:pt idx="1">
                  <c:v>1637548</c:v>
                </c:pt>
                <c:pt idx="2">
                  <c:v>1513068</c:v>
                </c:pt>
                <c:pt idx="3">
                  <c:v>1446486</c:v>
                </c:pt>
                <c:pt idx="4">
                  <c:v>1398397</c:v>
                </c:pt>
              </c:numCache>
            </c:numRef>
          </c:val>
          <c:extLst>
            <c:ext xmlns:c16="http://schemas.microsoft.com/office/drawing/2014/chart" uri="{C3380CC4-5D6E-409C-BE32-E72D297353CC}">
              <c16:uniqueId val="{00000000-9B1E-48D3-B694-3B54C86EDF5B}"/>
            </c:ext>
          </c:extLst>
        </c:ser>
        <c:dLbls>
          <c:dLblPos val="outEnd"/>
          <c:showLegendKey val="0"/>
          <c:showVal val="1"/>
          <c:showCatName val="0"/>
          <c:showSerName val="0"/>
          <c:showPercent val="0"/>
          <c:showBubbleSize val="0"/>
        </c:dLbls>
        <c:gapWidth val="182"/>
        <c:axId val="1578467232"/>
        <c:axId val="1578478272"/>
      </c:barChart>
      <c:catAx>
        <c:axId val="1578467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478272"/>
        <c:crosses val="autoZero"/>
        <c:auto val="1"/>
        <c:lblAlgn val="ctr"/>
        <c:lblOffset val="100"/>
        <c:noMultiLvlLbl val="0"/>
      </c:catAx>
      <c:valAx>
        <c:axId val="15784782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467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101600</xdr:colOff>
      <xdr:row>0</xdr:row>
      <xdr:rowOff>38100</xdr:rowOff>
    </xdr:from>
    <xdr:to>
      <xdr:col>9</xdr:col>
      <xdr:colOff>546100</xdr:colOff>
      <xdr:row>13</xdr:row>
      <xdr:rowOff>139700</xdr:rowOff>
    </xdr:to>
    <xdr:graphicFrame macro="">
      <xdr:nvGraphicFramePr>
        <xdr:cNvPr id="2" name="Chart 1">
          <a:extLst>
            <a:ext uri="{FF2B5EF4-FFF2-40B4-BE49-F238E27FC236}">
              <a16:creationId xmlns:a16="http://schemas.microsoft.com/office/drawing/2014/main" id="{601CEE90-2F7C-7607-5ABD-9487903812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139700</xdr:colOff>
      <xdr:row>17</xdr:row>
      <xdr:rowOff>177800</xdr:rowOff>
    </xdr:from>
    <xdr:to>
      <xdr:col>9</xdr:col>
      <xdr:colOff>533400</xdr:colOff>
      <xdr:row>31</xdr:row>
      <xdr:rowOff>133350</xdr:rowOff>
    </xdr:to>
    <xdr:graphicFrame macro="">
      <xdr:nvGraphicFramePr>
        <xdr:cNvPr id="3" name="Chart 2">
          <a:extLst>
            <a:ext uri="{FF2B5EF4-FFF2-40B4-BE49-F238E27FC236}">
              <a16:creationId xmlns:a16="http://schemas.microsoft.com/office/drawing/2014/main" id="{522C90A8-0BD7-9A9A-EDB4-5482CAE736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158750</xdr:colOff>
      <xdr:row>33</xdr:row>
      <xdr:rowOff>146050</xdr:rowOff>
    </xdr:from>
    <xdr:to>
      <xdr:col>9</xdr:col>
      <xdr:colOff>546100</xdr:colOff>
      <xdr:row>48</xdr:row>
      <xdr:rowOff>114300</xdr:rowOff>
    </xdr:to>
    <xdr:graphicFrame macro="">
      <xdr:nvGraphicFramePr>
        <xdr:cNvPr id="4" name="Chart 3">
          <a:extLst>
            <a:ext uri="{FF2B5EF4-FFF2-40B4-BE49-F238E27FC236}">
              <a16:creationId xmlns:a16="http://schemas.microsoft.com/office/drawing/2014/main" id="{35CB98F5-7B21-8576-B655-7399A7EB52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171450</xdr:colOff>
      <xdr:row>56</xdr:row>
      <xdr:rowOff>165100</xdr:rowOff>
    </xdr:from>
    <xdr:to>
      <xdr:col>9</xdr:col>
      <xdr:colOff>590550</xdr:colOff>
      <xdr:row>70</xdr:row>
      <xdr:rowOff>165100</xdr:rowOff>
    </xdr:to>
    <xdr:graphicFrame macro="">
      <xdr:nvGraphicFramePr>
        <xdr:cNvPr id="5" name="Chart 4">
          <a:extLst>
            <a:ext uri="{FF2B5EF4-FFF2-40B4-BE49-F238E27FC236}">
              <a16:creationId xmlns:a16="http://schemas.microsoft.com/office/drawing/2014/main" id="{84D3A0A6-73DC-BA6D-AAEC-03D29795CA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127000</xdr:colOff>
      <xdr:row>1</xdr:row>
      <xdr:rowOff>38100</xdr:rowOff>
    </xdr:from>
    <xdr:to>
      <xdr:col>20</xdr:col>
      <xdr:colOff>127000</xdr:colOff>
      <xdr:row>14</xdr:row>
      <xdr:rowOff>168275</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F3BA0814-62DE-4B19-DA52-7EEDB13BF0A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262507" y="222158"/>
              <a:ext cx="1822174" cy="25229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520700</xdr:colOff>
      <xdr:row>1</xdr:row>
      <xdr:rowOff>57150</xdr:rowOff>
    </xdr:from>
    <xdr:to>
      <xdr:col>16</xdr:col>
      <xdr:colOff>520700</xdr:colOff>
      <xdr:row>15</xdr:row>
      <xdr:rowOff>3175</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674425A2-00C2-08D7-1E4E-0686C82FAB1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226642" y="241208"/>
              <a:ext cx="1822174" cy="25228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406400</xdr:colOff>
      <xdr:row>1</xdr:row>
      <xdr:rowOff>0</xdr:rowOff>
    </xdr:from>
    <xdr:to>
      <xdr:col>13</xdr:col>
      <xdr:colOff>406400</xdr:colOff>
      <xdr:row>14</xdr:row>
      <xdr:rowOff>130175</xdr:rowOff>
    </xdr:to>
    <mc:AlternateContent xmlns:mc="http://schemas.openxmlformats.org/markup-compatibility/2006" xmlns:a14="http://schemas.microsoft.com/office/drawing/2010/main">
      <mc:Choice Requires="a14">
        <xdr:graphicFrame macro="">
          <xdr:nvGraphicFramePr>
            <xdr:cNvPr id="8" name="Segment">
              <a:extLst>
                <a:ext uri="{FF2B5EF4-FFF2-40B4-BE49-F238E27FC236}">
                  <a16:creationId xmlns:a16="http://schemas.microsoft.com/office/drawing/2014/main" id="{943A8A70-DA14-1082-D004-3A3AC96C136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7290168" y="184058"/>
              <a:ext cx="1822174" cy="25229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1123462</xdr:colOff>
      <xdr:row>7</xdr:row>
      <xdr:rowOff>170960</xdr:rowOff>
    </xdr:from>
    <xdr:to>
      <xdr:col>9</xdr:col>
      <xdr:colOff>2248733</xdr:colOff>
      <xdr:row>23</xdr:row>
      <xdr:rowOff>24422</xdr:rowOff>
    </xdr:to>
    <xdr:graphicFrame macro="">
      <xdr:nvGraphicFramePr>
        <xdr:cNvPr id="2" name="Chart 1">
          <a:extLst>
            <a:ext uri="{FF2B5EF4-FFF2-40B4-BE49-F238E27FC236}">
              <a16:creationId xmlns:a16="http://schemas.microsoft.com/office/drawing/2014/main" id="{540B0E69-B52D-43B2-9E88-DA4C1C4382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170959</xdr:colOff>
      <xdr:row>7</xdr:row>
      <xdr:rowOff>103116</xdr:rowOff>
    </xdr:from>
    <xdr:to>
      <xdr:col>16</xdr:col>
      <xdr:colOff>170960</xdr:colOff>
      <xdr:row>23</xdr:row>
      <xdr:rowOff>0</xdr:rowOff>
    </xdr:to>
    <xdr:graphicFrame macro="">
      <xdr:nvGraphicFramePr>
        <xdr:cNvPr id="3" name="Chart 2">
          <a:extLst>
            <a:ext uri="{FF2B5EF4-FFF2-40B4-BE49-F238E27FC236}">
              <a16:creationId xmlns:a16="http://schemas.microsoft.com/office/drawing/2014/main" id="{D2832FFB-C86F-400C-86AA-3BEDAE210E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19</xdr:col>
      <xdr:colOff>57438</xdr:colOff>
      <xdr:row>21</xdr:row>
      <xdr:rowOff>48845</xdr:rowOff>
    </xdr:from>
    <xdr:to>
      <xdr:col>19</xdr:col>
      <xdr:colOff>1875441</xdr:colOff>
      <xdr:row>30</xdr:row>
      <xdr:rowOff>123925</xdr:rowOff>
    </xdr:to>
    <mc:AlternateContent xmlns:mc="http://schemas.openxmlformats.org/markup-compatibility/2006">
      <mc:Choice xmlns:a14="http://schemas.microsoft.com/office/drawing/2010/main" Requires="a14">
        <xdr:graphicFrame macro="">
          <xdr:nvGraphicFramePr>
            <xdr:cNvPr id="5" name="Region 1">
              <a:extLst>
                <a:ext uri="{FF2B5EF4-FFF2-40B4-BE49-F238E27FC236}">
                  <a16:creationId xmlns:a16="http://schemas.microsoft.com/office/drawing/2014/main" id="{9D18C184-0C6F-822A-5DC2-46CBEDBDC31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5236568" y="4576671"/>
              <a:ext cx="1818003" cy="18144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713439</xdr:colOff>
      <xdr:row>9</xdr:row>
      <xdr:rowOff>17613</xdr:rowOff>
    </xdr:from>
    <xdr:to>
      <xdr:col>20</xdr:col>
      <xdr:colOff>483402</xdr:colOff>
      <xdr:row>18</xdr:row>
      <xdr:rowOff>52961</xdr:rowOff>
    </xdr:to>
    <mc:AlternateContent xmlns:mc="http://schemas.openxmlformats.org/markup-compatibility/2006">
      <mc:Choice xmlns:a14="http://schemas.microsoft.com/office/drawing/2010/main" Requires="a14">
        <xdr:graphicFrame macro="">
          <xdr:nvGraphicFramePr>
            <xdr:cNvPr id="6" name="Category 1">
              <a:extLst>
                <a:ext uri="{FF2B5EF4-FFF2-40B4-BE49-F238E27FC236}">
                  <a16:creationId xmlns:a16="http://schemas.microsoft.com/office/drawing/2014/main" id="{B0F01116-E502-CD45-84F0-1AE0C657D8B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5892569" y="2226309"/>
              <a:ext cx="1813007" cy="17746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558834</xdr:colOff>
      <xdr:row>9</xdr:row>
      <xdr:rowOff>31657</xdr:rowOff>
    </xdr:from>
    <xdr:to>
      <xdr:col>19</xdr:col>
      <xdr:colOff>574176</xdr:colOff>
      <xdr:row>18</xdr:row>
      <xdr:rowOff>55176</xdr:rowOff>
    </xdr:to>
    <mc:AlternateContent xmlns:mc="http://schemas.openxmlformats.org/markup-compatibility/2006">
      <mc:Choice xmlns:a14="http://schemas.microsoft.com/office/drawing/2010/main" Requires="a14">
        <xdr:graphicFrame macro="">
          <xdr:nvGraphicFramePr>
            <xdr:cNvPr id="7" name="Segment 1">
              <a:extLst>
                <a:ext uri="{FF2B5EF4-FFF2-40B4-BE49-F238E27FC236}">
                  <a16:creationId xmlns:a16="http://schemas.microsoft.com/office/drawing/2014/main" id="{C803BDBE-6F04-FADA-A33B-F7105DED883F}"/>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23915791" y="2240353"/>
              <a:ext cx="1837515" cy="17628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1037529</xdr:colOff>
      <xdr:row>23</xdr:row>
      <xdr:rowOff>170962</xdr:rowOff>
    </xdr:from>
    <xdr:to>
      <xdr:col>9</xdr:col>
      <xdr:colOff>2246923</xdr:colOff>
      <xdr:row>40</xdr:row>
      <xdr:rowOff>48844</xdr:rowOff>
    </xdr:to>
    <xdr:graphicFrame macro="">
      <xdr:nvGraphicFramePr>
        <xdr:cNvPr id="8" name="Chart 7">
          <a:extLst>
            <a:ext uri="{FF2B5EF4-FFF2-40B4-BE49-F238E27FC236}">
              <a16:creationId xmlns:a16="http://schemas.microsoft.com/office/drawing/2014/main" id="{2C3EC8C8-0ADF-4221-BC46-9EADA71ECD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166943</xdr:colOff>
      <xdr:row>23</xdr:row>
      <xdr:rowOff>127544</xdr:rowOff>
    </xdr:from>
    <xdr:to>
      <xdr:col>16</xdr:col>
      <xdr:colOff>268652</xdr:colOff>
      <xdr:row>40</xdr:row>
      <xdr:rowOff>24422</xdr:rowOff>
    </xdr:to>
    <xdr:graphicFrame macro="">
      <xdr:nvGraphicFramePr>
        <xdr:cNvPr id="9" name="Chart 8">
          <a:extLst>
            <a:ext uri="{FF2B5EF4-FFF2-40B4-BE49-F238E27FC236}">
              <a16:creationId xmlns:a16="http://schemas.microsoft.com/office/drawing/2014/main" id="{9D17DB48-53C7-4849-AC5B-3449D3C2E1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26.885816666669" createdVersion="8" refreshedVersion="8" minRefreshableVersion="3" recordCount="1000" xr:uid="{46835ABB-EEFD-4E57-9E61-B19F6E1B9607}">
  <cacheSource type="worksheet">
    <worksheetSource name="Table1"/>
  </cacheSource>
  <cacheFields count="15">
    <cacheField name="Order_ID" numFmtId="0">
      <sharedItems count="100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 v="ORD0101"/>
        <s v="ORD0102"/>
        <s v="ORD0103"/>
        <s v="ORD0104"/>
        <s v="ORD0105"/>
        <s v="ORD0106"/>
        <s v="ORD0107"/>
        <s v="ORD0108"/>
        <s v="ORD0109"/>
        <s v="ORD0110"/>
        <s v="ORD0111"/>
        <s v="ORD0112"/>
        <s v="ORD0113"/>
        <s v="ORD0114"/>
        <s v="ORD0115"/>
        <s v="ORD0116"/>
        <s v="ORD0117"/>
        <s v="ORD0118"/>
        <s v="ORD0119"/>
        <s v="ORD0120"/>
        <s v="ORD0121"/>
        <s v="ORD0122"/>
        <s v="ORD0123"/>
        <s v="ORD0124"/>
        <s v="ORD0125"/>
        <s v="ORD0126"/>
        <s v="ORD0127"/>
        <s v="ORD0128"/>
        <s v="ORD0129"/>
        <s v="ORD0130"/>
        <s v="ORD0131"/>
        <s v="ORD0132"/>
        <s v="ORD0133"/>
        <s v="ORD0134"/>
        <s v="ORD0135"/>
        <s v="ORD0136"/>
        <s v="ORD0137"/>
        <s v="ORD0138"/>
        <s v="ORD0139"/>
        <s v="ORD0140"/>
        <s v="ORD0141"/>
        <s v="ORD0142"/>
        <s v="ORD0143"/>
        <s v="ORD0144"/>
        <s v="ORD0145"/>
        <s v="ORD0146"/>
        <s v="ORD0147"/>
        <s v="ORD0148"/>
        <s v="ORD0149"/>
        <s v="ORD0150"/>
        <s v="ORD0151"/>
        <s v="ORD0152"/>
        <s v="ORD0153"/>
        <s v="ORD0154"/>
        <s v="ORD0155"/>
        <s v="ORD0156"/>
        <s v="ORD0157"/>
        <s v="ORD0158"/>
        <s v="ORD0159"/>
        <s v="ORD0160"/>
        <s v="ORD0161"/>
        <s v="ORD0162"/>
        <s v="ORD0163"/>
        <s v="ORD0164"/>
        <s v="ORD0165"/>
        <s v="ORD0166"/>
        <s v="ORD0167"/>
        <s v="ORD0168"/>
        <s v="ORD0169"/>
        <s v="ORD0170"/>
        <s v="ORD0171"/>
        <s v="ORD0172"/>
        <s v="ORD0173"/>
        <s v="ORD0174"/>
        <s v="ORD0175"/>
        <s v="ORD0176"/>
        <s v="ORD0177"/>
        <s v="ORD0178"/>
        <s v="ORD0179"/>
        <s v="ORD0180"/>
        <s v="ORD0181"/>
        <s v="ORD0182"/>
        <s v="ORD0183"/>
        <s v="ORD0184"/>
        <s v="ORD0185"/>
        <s v="ORD0186"/>
        <s v="ORD0187"/>
        <s v="ORD0188"/>
        <s v="ORD0189"/>
        <s v="ORD0190"/>
        <s v="ORD0191"/>
        <s v="ORD0192"/>
        <s v="ORD0193"/>
        <s v="ORD0194"/>
        <s v="ORD0195"/>
        <s v="ORD0196"/>
        <s v="ORD0197"/>
        <s v="ORD0198"/>
        <s v="ORD0199"/>
        <s v="ORD0200"/>
        <s v="ORD0201"/>
        <s v="ORD0202"/>
        <s v="ORD0203"/>
        <s v="ORD0204"/>
        <s v="ORD0205"/>
        <s v="ORD0206"/>
        <s v="ORD0207"/>
        <s v="ORD0208"/>
        <s v="ORD0209"/>
        <s v="ORD0210"/>
        <s v="ORD0211"/>
        <s v="ORD0212"/>
        <s v="ORD0213"/>
        <s v="ORD0214"/>
        <s v="ORD0215"/>
        <s v="ORD0216"/>
        <s v="ORD0217"/>
        <s v="ORD0218"/>
        <s v="ORD0219"/>
        <s v="ORD0220"/>
        <s v="ORD0221"/>
        <s v="ORD0222"/>
        <s v="ORD0223"/>
        <s v="ORD0224"/>
        <s v="ORD0225"/>
        <s v="ORD0226"/>
        <s v="ORD0227"/>
        <s v="ORD0228"/>
        <s v="ORD0229"/>
        <s v="ORD0230"/>
        <s v="ORD0231"/>
        <s v="ORD0232"/>
        <s v="ORD0233"/>
        <s v="ORD0234"/>
        <s v="ORD0235"/>
        <s v="ORD0236"/>
        <s v="ORD0237"/>
        <s v="ORD0238"/>
        <s v="ORD0239"/>
        <s v="ORD0240"/>
        <s v="ORD0241"/>
        <s v="ORD0242"/>
        <s v="ORD0243"/>
        <s v="ORD0244"/>
        <s v="ORD0245"/>
        <s v="ORD0246"/>
        <s v="ORD0247"/>
        <s v="ORD0248"/>
        <s v="ORD0249"/>
        <s v="ORD0250"/>
        <s v="ORD0251"/>
        <s v="ORD0252"/>
        <s v="ORD0253"/>
        <s v="ORD0254"/>
        <s v="ORD0255"/>
        <s v="ORD0256"/>
        <s v="ORD0257"/>
        <s v="ORD0258"/>
        <s v="ORD0259"/>
        <s v="ORD0260"/>
        <s v="ORD0261"/>
        <s v="ORD0262"/>
        <s v="ORD0263"/>
        <s v="ORD0264"/>
        <s v="ORD0265"/>
        <s v="ORD0266"/>
        <s v="ORD0267"/>
        <s v="ORD0268"/>
        <s v="ORD0269"/>
        <s v="ORD0270"/>
        <s v="ORD0271"/>
        <s v="ORD0272"/>
        <s v="ORD0273"/>
        <s v="ORD0274"/>
        <s v="ORD0275"/>
        <s v="ORD0276"/>
        <s v="ORD0277"/>
        <s v="ORD0278"/>
        <s v="ORD0279"/>
        <s v="ORD0280"/>
        <s v="ORD0281"/>
        <s v="ORD0282"/>
        <s v="ORD0283"/>
        <s v="ORD0284"/>
        <s v="ORD0285"/>
        <s v="ORD0286"/>
        <s v="ORD0287"/>
        <s v="ORD0288"/>
        <s v="ORD0289"/>
        <s v="ORD0290"/>
        <s v="ORD0291"/>
        <s v="ORD0292"/>
        <s v="ORD0293"/>
        <s v="ORD0294"/>
        <s v="ORD0295"/>
        <s v="ORD0296"/>
        <s v="ORD0297"/>
        <s v="ORD0298"/>
        <s v="ORD0299"/>
        <s v="ORD0300"/>
        <s v="ORD0301"/>
        <s v="ORD0302"/>
        <s v="ORD0303"/>
        <s v="ORD0304"/>
        <s v="ORD0305"/>
        <s v="ORD0306"/>
        <s v="ORD0307"/>
        <s v="ORD0308"/>
        <s v="ORD0309"/>
        <s v="ORD0310"/>
        <s v="ORD0311"/>
        <s v="ORD0312"/>
        <s v="ORD0313"/>
        <s v="ORD0314"/>
        <s v="ORD0315"/>
        <s v="ORD0316"/>
        <s v="ORD0317"/>
        <s v="ORD0318"/>
        <s v="ORD0319"/>
        <s v="ORD0320"/>
        <s v="ORD0321"/>
        <s v="ORD0322"/>
        <s v="ORD0323"/>
        <s v="ORD0324"/>
        <s v="ORD0325"/>
        <s v="ORD0326"/>
        <s v="ORD0327"/>
        <s v="ORD0328"/>
        <s v="ORD0329"/>
        <s v="ORD0330"/>
        <s v="ORD0331"/>
        <s v="ORD0332"/>
        <s v="ORD0333"/>
        <s v="ORD0334"/>
        <s v="ORD0335"/>
        <s v="ORD0336"/>
        <s v="ORD0337"/>
        <s v="ORD0338"/>
        <s v="ORD0339"/>
        <s v="ORD0340"/>
        <s v="ORD0341"/>
        <s v="ORD0342"/>
        <s v="ORD0343"/>
        <s v="ORD0344"/>
        <s v="ORD0345"/>
        <s v="ORD0346"/>
        <s v="ORD0347"/>
        <s v="ORD0348"/>
        <s v="ORD0349"/>
        <s v="ORD0350"/>
        <s v="ORD0351"/>
        <s v="ORD0352"/>
        <s v="ORD0353"/>
        <s v="ORD0354"/>
        <s v="ORD0355"/>
        <s v="ORD0356"/>
        <s v="ORD0357"/>
        <s v="ORD0358"/>
        <s v="ORD0359"/>
        <s v="ORD0360"/>
        <s v="ORD0361"/>
        <s v="ORD0362"/>
        <s v="ORD0363"/>
        <s v="ORD0364"/>
        <s v="ORD0365"/>
        <s v="ORD0366"/>
        <s v="ORD0367"/>
        <s v="ORD0368"/>
        <s v="ORD0369"/>
        <s v="ORD0370"/>
        <s v="ORD0371"/>
        <s v="ORD0372"/>
        <s v="ORD0373"/>
        <s v="ORD0374"/>
        <s v="ORD0375"/>
        <s v="ORD0376"/>
        <s v="ORD0377"/>
        <s v="ORD0378"/>
        <s v="ORD0379"/>
        <s v="ORD0380"/>
        <s v="ORD0381"/>
        <s v="ORD0382"/>
        <s v="ORD0383"/>
        <s v="ORD0384"/>
        <s v="ORD0385"/>
        <s v="ORD0386"/>
        <s v="ORD0387"/>
        <s v="ORD0388"/>
        <s v="ORD0389"/>
        <s v="ORD0390"/>
        <s v="ORD0391"/>
        <s v="ORD0392"/>
        <s v="ORD0393"/>
        <s v="ORD0394"/>
        <s v="ORD0395"/>
        <s v="ORD0396"/>
        <s v="ORD0397"/>
        <s v="ORD0398"/>
        <s v="ORD0399"/>
        <s v="ORD0400"/>
        <s v="ORD0401"/>
        <s v="ORD0402"/>
        <s v="ORD0403"/>
        <s v="ORD0404"/>
        <s v="ORD0405"/>
        <s v="ORD0406"/>
        <s v="ORD0407"/>
        <s v="ORD0408"/>
        <s v="ORD0409"/>
        <s v="ORD0410"/>
        <s v="ORD0411"/>
        <s v="ORD0412"/>
        <s v="ORD0413"/>
        <s v="ORD0414"/>
        <s v="ORD0415"/>
        <s v="ORD0416"/>
        <s v="ORD0417"/>
        <s v="ORD0418"/>
        <s v="ORD0419"/>
        <s v="ORD0420"/>
        <s v="ORD0421"/>
        <s v="ORD0422"/>
        <s v="ORD0423"/>
        <s v="ORD0424"/>
        <s v="ORD0425"/>
        <s v="ORD0426"/>
        <s v="ORD0427"/>
        <s v="ORD0428"/>
        <s v="ORD0429"/>
        <s v="ORD0430"/>
        <s v="ORD0431"/>
        <s v="ORD0432"/>
        <s v="ORD0433"/>
        <s v="ORD0434"/>
        <s v="ORD0435"/>
        <s v="ORD0436"/>
        <s v="ORD0437"/>
        <s v="ORD0438"/>
        <s v="ORD0439"/>
        <s v="ORD0440"/>
        <s v="ORD0441"/>
        <s v="ORD0442"/>
        <s v="ORD0443"/>
        <s v="ORD0444"/>
        <s v="ORD0445"/>
        <s v="ORD0446"/>
        <s v="ORD0447"/>
        <s v="ORD0448"/>
        <s v="ORD0449"/>
        <s v="ORD0450"/>
        <s v="ORD0451"/>
        <s v="ORD0452"/>
        <s v="ORD0453"/>
        <s v="ORD0454"/>
        <s v="ORD0455"/>
        <s v="ORD0456"/>
        <s v="ORD0457"/>
        <s v="ORD0458"/>
        <s v="ORD0459"/>
        <s v="ORD0460"/>
        <s v="ORD0461"/>
        <s v="ORD0462"/>
        <s v="ORD0463"/>
        <s v="ORD0464"/>
        <s v="ORD0465"/>
        <s v="ORD0466"/>
        <s v="ORD0467"/>
        <s v="ORD0468"/>
        <s v="ORD0469"/>
        <s v="ORD0470"/>
        <s v="ORD0471"/>
        <s v="ORD0472"/>
        <s v="ORD0473"/>
        <s v="ORD0474"/>
        <s v="ORD0475"/>
        <s v="ORD0476"/>
        <s v="ORD0477"/>
        <s v="ORD0478"/>
        <s v="ORD0479"/>
        <s v="ORD0480"/>
        <s v="ORD0481"/>
        <s v="ORD0482"/>
        <s v="ORD0483"/>
        <s v="ORD0484"/>
        <s v="ORD0485"/>
        <s v="ORD0486"/>
        <s v="ORD0487"/>
        <s v="ORD0488"/>
        <s v="ORD0489"/>
        <s v="ORD0490"/>
        <s v="ORD0491"/>
        <s v="ORD0492"/>
        <s v="ORD0493"/>
        <s v="ORD0494"/>
        <s v="ORD0495"/>
        <s v="ORD0496"/>
        <s v="ORD0497"/>
        <s v="ORD0498"/>
        <s v="ORD0499"/>
        <s v="ORD0500"/>
        <s v="ORD0501"/>
        <s v="ORD0502"/>
        <s v="ORD0503"/>
        <s v="ORD0504"/>
        <s v="ORD0505"/>
        <s v="ORD0506"/>
        <s v="ORD0507"/>
        <s v="ORD0508"/>
        <s v="ORD0509"/>
        <s v="ORD0510"/>
        <s v="ORD0511"/>
        <s v="ORD0512"/>
        <s v="ORD0513"/>
        <s v="ORD0514"/>
        <s v="ORD0515"/>
        <s v="ORD0516"/>
        <s v="ORD0517"/>
        <s v="ORD0518"/>
        <s v="ORD0519"/>
        <s v="ORD0520"/>
        <s v="ORD0521"/>
        <s v="ORD0522"/>
        <s v="ORD0523"/>
        <s v="ORD0524"/>
        <s v="ORD0525"/>
        <s v="ORD0526"/>
        <s v="ORD0527"/>
        <s v="ORD0528"/>
        <s v="ORD0529"/>
        <s v="ORD0530"/>
        <s v="ORD0531"/>
        <s v="ORD0532"/>
        <s v="ORD0533"/>
        <s v="ORD0534"/>
        <s v="ORD0535"/>
        <s v="ORD0536"/>
        <s v="ORD0537"/>
        <s v="ORD0538"/>
        <s v="ORD0539"/>
        <s v="ORD0540"/>
        <s v="ORD0541"/>
        <s v="ORD0542"/>
        <s v="ORD0543"/>
        <s v="ORD0544"/>
        <s v="ORD0545"/>
        <s v="ORD0546"/>
        <s v="ORD0547"/>
        <s v="ORD0548"/>
        <s v="ORD0549"/>
        <s v="ORD0550"/>
        <s v="ORD0551"/>
        <s v="ORD0552"/>
        <s v="ORD0553"/>
        <s v="ORD0554"/>
        <s v="ORD0555"/>
        <s v="ORD0556"/>
        <s v="ORD0557"/>
        <s v="ORD0558"/>
        <s v="ORD0559"/>
        <s v="ORD0560"/>
        <s v="ORD0561"/>
        <s v="ORD0562"/>
        <s v="ORD0563"/>
        <s v="ORD0564"/>
        <s v="ORD0565"/>
        <s v="ORD0566"/>
        <s v="ORD0567"/>
        <s v="ORD0568"/>
        <s v="ORD0569"/>
        <s v="ORD0570"/>
        <s v="ORD0571"/>
        <s v="ORD0572"/>
        <s v="ORD0573"/>
        <s v="ORD0574"/>
        <s v="ORD0575"/>
        <s v="ORD0576"/>
        <s v="ORD0577"/>
        <s v="ORD0578"/>
        <s v="ORD0579"/>
        <s v="ORD0580"/>
        <s v="ORD0581"/>
        <s v="ORD0582"/>
        <s v="ORD0583"/>
        <s v="ORD0584"/>
        <s v="ORD0585"/>
        <s v="ORD0586"/>
        <s v="ORD0587"/>
        <s v="ORD0588"/>
        <s v="ORD0589"/>
        <s v="ORD0590"/>
        <s v="ORD0591"/>
        <s v="ORD0592"/>
        <s v="ORD0593"/>
        <s v="ORD0594"/>
        <s v="ORD0595"/>
        <s v="ORD0596"/>
        <s v="ORD0597"/>
        <s v="ORD0598"/>
        <s v="ORD0599"/>
        <s v="ORD0600"/>
        <s v="ORD0601"/>
        <s v="ORD0602"/>
        <s v="ORD0603"/>
        <s v="ORD0604"/>
        <s v="ORD0605"/>
        <s v="ORD0606"/>
        <s v="ORD0607"/>
        <s v="ORD0608"/>
        <s v="ORD0609"/>
        <s v="ORD0610"/>
        <s v="ORD0611"/>
        <s v="ORD0612"/>
        <s v="ORD0613"/>
        <s v="ORD0614"/>
        <s v="ORD0615"/>
        <s v="ORD0616"/>
        <s v="ORD0617"/>
        <s v="ORD0618"/>
        <s v="ORD0619"/>
        <s v="ORD0620"/>
        <s v="ORD0621"/>
        <s v="ORD0622"/>
        <s v="ORD0623"/>
        <s v="ORD0624"/>
        <s v="ORD0625"/>
        <s v="ORD0626"/>
        <s v="ORD0627"/>
        <s v="ORD0628"/>
        <s v="ORD0629"/>
        <s v="ORD0630"/>
        <s v="ORD0631"/>
        <s v="ORD0632"/>
        <s v="ORD0633"/>
        <s v="ORD0634"/>
        <s v="ORD0635"/>
        <s v="ORD0636"/>
        <s v="ORD0637"/>
        <s v="ORD0638"/>
        <s v="ORD0639"/>
        <s v="ORD0640"/>
        <s v="ORD0641"/>
        <s v="ORD0642"/>
        <s v="ORD0643"/>
        <s v="ORD0644"/>
        <s v="ORD0645"/>
        <s v="ORD0646"/>
        <s v="ORD0647"/>
        <s v="ORD0648"/>
        <s v="ORD0649"/>
        <s v="ORD0650"/>
        <s v="ORD0651"/>
        <s v="ORD0652"/>
        <s v="ORD0653"/>
        <s v="ORD0654"/>
        <s v="ORD0655"/>
        <s v="ORD0656"/>
        <s v="ORD0657"/>
        <s v="ORD0658"/>
        <s v="ORD0659"/>
        <s v="ORD0660"/>
        <s v="ORD0661"/>
        <s v="ORD0662"/>
        <s v="ORD0663"/>
        <s v="ORD0664"/>
        <s v="ORD0665"/>
        <s v="ORD0666"/>
        <s v="ORD0667"/>
        <s v="ORD0668"/>
        <s v="ORD0669"/>
        <s v="ORD0670"/>
        <s v="ORD0671"/>
        <s v="ORD0672"/>
        <s v="ORD0673"/>
        <s v="ORD0674"/>
        <s v="ORD0675"/>
        <s v="ORD0676"/>
        <s v="ORD0677"/>
        <s v="ORD0678"/>
        <s v="ORD0679"/>
        <s v="ORD0680"/>
        <s v="ORD0681"/>
        <s v="ORD0682"/>
        <s v="ORD0683"/>
        <s v="ORD0684"/>
        <s v="ORD0685"/>
        <s v="ORD0686"/>
        <s v="ORD0687"/>
        <s v="ORD0688"/>
        <s v="ORD0689"/>
        <s v="ORD0690"/>
        <s v="ORD0691"/>
        <s v="ORD0692"/>
        <s v="ORD0693"/>
        <s v="ORD0694"/>
        <s v="ORD0695"/>
        <s v="ORD0696"/>
        <s v="ORD0697"/>
        <s v="ORD0698"/>
        <s v="ORD0699"/>
        <s v="ORD0700"/>
        <s v="ORD0701"/>
        <s v="ORD0702"/>
        <s v="ORD0703"/>
        <s v="ORD0704"/>
        <s v="ORD0705"/>
        <s v="ORD0706"/>
        <s v="ORD0707"/>
        <s v="ORD0708"/>
        <s v="ORD0709"/>
        <s v="ORD0710"/>
        <s v="ORD0711"/>
        <s v="ORD0712"/>
        <s v="ORD0713"/>
        <s v="ORD0714"/>
        <s v="ORD0715"/>
        <s v="ORD0716"/>
        <s v="ORD0717"/>
        <s v="ORD0718"/>
        <s v="ORD0719"/>
        <s v="ORD0720"/>
        <s v="ORD0721"/>
        <s v="ORD0722"/>
        <s v="ORD0723"/>
        <s v="ORD0724"/>
        <s v="ORD0725"/>
        <s v="ORD0726"/>
        <s v="ORD0727"/>
        <s v="ORD0728"/>
        <s v="ORD0729"/>
        <s v="ORD0730"/>
        <s v="ORD0731"/>
        <s v="ORD0732"/>
        <s v="ORD0733"/>
        <s v="ORD0734"/>
        <s v="ORD0735"/>
        <s v="ORD0736"/>
        <s v="ORD0737"/>
        <s v="ORD0738"/>
        <s v="ORD0739"/>
        <s v="ORD0740"/>
        <s v="ORD0741"/>
        <s v="ORD0742"/>
        <s v="ORD0743"/>
        <s v="ORD0744"/>
        <s v="ORD0745"/>
        <s v="ORD0746"/>
        <s v="ORD0747"/>
        <s v="ORD0748"/>
        <s v="ORD0749"/>
        <s v="ORD0750"/>
        <s v="ORD0751"/>
        <s v="ORD0752"/>
        <s v="ORD0753"/>
        <s v="ORD0754"/>
        <s v="ORD0755"/>
        <s v="ORD0756"/>
        <s v="ORD0757"/>
        <s v="ORD0758"/>
        <s v="ORD0759"/>
        <s v="ORD0760"/>
        <s v="ORD0761"/>
        <s v="ORD0762"/>
        <s v="ORD0763"/>
        <s v="ORD0764"/>
        <s v="ORD0765"/>
        <s v="ORD0766"/>
        <s v="ORD0767"/>
        <s v="ORD0768"/>
        <s v="ORD0769"/>
        <s v="ORD0770"/>
        <s v="ORD0771"/>
        <s v="ORD0772"/>
        <s v="ORD0773"/>
        <s v="ORD0774"/>
        <s v="ORD0775"/>
        <s v="ORD0776"/>
        <s v="ORD0777"/>
        <s v="ORD0778"/>
        <s v="ORD0779"/>
        <s v="ORD0780"/>
        <s v="ORD0781"/>
        <s v="ORD0782"/>
        <s v="ORD0783"/>
        <s v="ORD0784"/>
        <s v="ORD0785"/>
        <s v="ORD0786"/>
        <s v="ORD0787"/>
        <s v="ORD0788"/>
        <s v="ORD0789"/>
        <s v="ORD0790"/>
        <s v="ORD0791"/>
        <s v="ORD0792"/>
        <s v="ORD0793"/>
        <s v="ORD0794"/>
        <s v="ORD0795"/>
        <s v="ORD0796"/>
        <s v="ORD0797"/>
        <s v="ORD0798"/>
        <s v="ORD0799"/>
        <s v="ORD0800"/>
        <s v="ORD0801"/>
        <s v="ORD0802"/>
        <s v="ORD0803"/>
        <s v="ORD0804"/>
        <s v="ORD0805"/>
        <s v="ORD0806"/>
        <s v="ORD0807"/>
        <s v="ORD0808"/>
        <s v="ORD0809"/>
        <s v="ORD0810"/>
        <s v="ORD0811"/>
        <s v="ORD0812"/>
        <s v="ORD0813"/>
        <s v="ORD0814"/>
        <s v="ORD0815"/>
        <s v="ORD0816"/>
        <s v="ORD0817"/>
        <s v="ORD0818"/>
        <s v="ORD0819"/>
        <s v="ORD0820"/>
        <s v="ORD0821"/>
        <s v="ORD0822"/>
        <s v="ORD0823"/>
        <s v="ORD0824"/>
        <s v="ORD0825"/>
        <s v="ORD0826"/>
        <s v="ORD0827"/>
        <s v="ORD0828"/>
        <s v="ORD0829"/>
        <s v="ORD0830"/>
        <s v="ORD0831"/>
        <s v="ORD0832"/>
        <s v="ORD0833"/>
        <s v="ORD0834"/>
        <s v="ORD0835"/>
        <s v="ORD0836"/>
        <s v="ORD0837"/>
        <s v="ORD0838"/>
        <s v="ORD0839"/>
        <s v="ORD0840"/>
        <s v="ORD0841"/>
        <s v="ORD0842"/>
        <s v="ORD0843"/>
        <s v="ORD0844"/>
        <s v="ORD0845"/>
        <s v="ORD0846"/>
        <s v="ORD0847"/>
        <s v="ORD0848"/>
        <s v="ORD0849"/>
        <s v="ORD0850"/>
        <s v="ORD0851"/>
        <s v="ORD0852"/>
        <s v="ORD0853"/>
        <s v="ORD0854"/>
        <s v="ORD0855"/>
        <s v="ORD0856"/>
        <s v="ORD0857"/>
        <s v="ORD0858"/>
        <s v="ORD0859"/>
        <s v="ORD0860"/>
        <s v="ORD0861"/>
        <s v="ORD0862"/>
        <s v="ORD0863"/>
        <s v="ORD0864"/>
        <s v="ORD0865"/>
        <s v="ORD0866"/>
        <s v="ORD0867"/>
        <s v="ORD0868"/>
        <s v="ORD0869"/>
        <s v="ORD0870"/>
        <s v="ORD0871"/>
        <s v="ORD0872"/>
        <s v="ORD0873"/>
        <s v="ORD0874"/>
        <s v="ORD0875"/>
        <s v="ORD0876"/>
        <s v="ORD0877"/>
        <s v="ORD0878"/>
        <s v="ORD0879"/>
        <s v="ORD0880"/>
        <s v="ORD0881"/>
        <s v="ORD0882"/>
        <s v="ORD0883"/>
        <s v="ORD0884"/>
        <s v="ORD0885"/>
        <s v="ORD0886"/>
        <s v="ORD0887"/>
        <s v="ORD0888"/>
        <s v="ORD0889"/>
        <s v="ORD0890"/>
        <s v="ORD0891"/>
        <s v="ORD0892"/>
        <s v="ORD0893"/>
        <s v="ORD0894"/>
        <s v="ORD0895"/>
        <s v="ORD0896"/>
        <s v="ORD0897"/>
        <s v="ORD0898"/>
        <s v="ORD0899"/>
        <s v="ORD0900"/>
        <s v="ORD0901"/>
        <s v="ORD0902"/>
        <s v="ORD0903"/>
        <s v="ORD0904"/>
        <s v="ORD0905"/>
        <s v="ORD0906"/>
        <s v="ORD0907"/>
        <s v="ORD0908"/>
        <s v="ORD0909"/>
        <s v="ORD0910"/>
        <s v="ORD0911"/>
        <s v="ORD0912"/>
        <s v="ORD0913"/>
        <s v="ORD0914"/>
        <s v="ORD0915"/>
        <s v="ORD0916"/>
        <s v="ORD0917"/>
        <s v="ORD0918"/>
        <s v="ORD0919"/>
        <s v="ORD0920"/>
        <s v="ORD0921"/>
        <s v="ORD0922"/>
        <s v="ORD0923"/>
        <s v="ORD0924"/>
        <s v="ORD0925"/>
        <s v="ORD0926"/>
        <s v="ORD0927"/>
        <s v="ORD0928"/>
        <s v="ORD0929"/>
        <s v="ORD0930"/>
        <s v="ORD0931"/>
        <s v="ORD0932"/>
        <s v="ORD0933"/>
        <s v="ORD0934"/>
        <s v="ORD0935"/>
        <s v="ORD0936"/>
        <s v="ORD0937"/>
        <s v="ORD0938"/>
        <s v="ORD0939"/>
        <s v="ORD0940"/>
        <s v="ORD0941"/>
        <s v="ORD0942"/>
        <s v="ORD0943"/>
        <s v="ORD0944"/>
        <s v="ORD0945"/>
        <s v="ORD0946"/>
        <s v="ORD0947"/>
        <s v="ORD0948"/>
        <s v="ORD0949"/>
        <s v="ORD0950"/>
        <s v="ORD0951"/>
        <s v="ORD0952"/>
        <s v="ORD0953"/>
        <s v="ORD0954"/>
        <s v="ORD0955"/>
        <s v="ORD0956"/>
        <s v="ORD0957"/>
        <s v="ORD0958"/>
        <s v="ORD0959"/>
        <s v="ORD0960"/>
        <s v="ORD0961"/>
        <s v="ORD0962"/>
        <s v="ORD0963"/>
        <s v="ORD0964"/>
        <s v="ORD0965"/>
        <s v="ORD0966"/>
        <s v="ORD0967"/>
        <s v="ORD0968"/>
        <s v="ORD0969"/>
        <s v="ORD0970"/>
        <s v="ORD0971"/>
        <s v="ORD0972"/>
        <s v="ORD0973"/>
        <s v="ORD0974"/>
        <s v="ORD0975"/>
        <s v="ORD0976"/>
        <s v="ORD0977"/>
        <s v="ORD0978"/>
        <s v="ORD0979"/>
        <s v="ORD0980"/>
        <s v="ORD0981"/>
        <s v="ORD0982"/>
        <s v="ORD0983"/>
        <s v="ORD0984"/>
        <s v="ORD0985"/>
        <s v="ORD0986"/>
        <s v="ORD0987"/>
        <s v="ORD0988"/>
        <s v="ORD0989"/>
        <s v="ORD0990"/>
        <s v="ORD0991"/>
        <s v="ORD0992"/>
        <s v="ORD0993"/>
        <s v="ORD0994"/>
        <s v="ORD0995"/>
        <s v="ORD0996"/>
        <s v="ORD0997"/>
        <s v="ORD0998"/>
        <s v="ORD0999"/>
        <s v="ORD1000"/>
      </sharedItems>
    </cacheField>
    <cacheField name="Order_Date" numFmtId="0">
      <sharedItems/>
    </cacheField>
    <cacheField name="Customer_ID" numFmtId="0">
      <sharedItems/>
    </cacheField>
    <cacheField name="Product_ID" numFmtId="0">
      <sharedItems/>
    </cacheField>
    <cacheField name="Region" numFmtId="0">
      <sharedItems count="4">
        <s v="North"/>
        <s v="South"/>
        <s v="West"/>
        <s v="East"/>
      </sharedItems>
    </cacheField>
    <cacheField name="Sales_Rep" numFmtId="0">
      <sharedItems count="4">
        <s v="Anjali"/>
        <s v="Priya"/>
        <s v="Karthik"/>
        <s v="Ravi"/>
      </sharedItems>
    </cacheField>
    <cacheField name="Quantity" numFmtId="0">
      <sharedItems containsSemiMixedTypes="0" containsString="0" containsNumber="1" containsInteger="1" minValue="1" maxValue="10"/>
    </cacheField>
    <cacheField name="Unit_Price" numFmtId="0">
      <sharedItems containsSemiMixedTypes="0" containsString="0" containsNumber="1" containsInteger="1" minValue="801" maxValue="1999"/>
    </cacheField>
    <cacheField name="Product_Name" numFmtId="0">
      <sharedItems/>
    </cacheField>
    <cacheField name="Category" numFmtId="0">
      <sharedItems count="2">
        <s v="Furniture"/>
        <s v="Electronics"/>
      </sharedItems>
    </cacheField>
    <cacheField name="Cost_Price" numFmtId="0">
      <sharedItems containsSemiMixedTypes="0" containsString="0" containsNumber="1" containsInteger="1" minValue="150" maxValue="1100"/>
    </cacheField>
    <cacheField name="Customer_Name" numFmtId="0">
      <sharedItems count="5">
        <s v="Suresh"/>
        <s v="Reliance"/>
        <s v="Infosys"/>
        <s v="Ramesh"/>
        <s v="TCS"/>
      </sharedItems>
    </cacheField>
    <cacheField name="Segment" numFmtId="0">
      <sharedItems count="2">
        <s v="Consumer"/>
        <s v="Corporate"/>
      </sharedItems>
    </cacheField>
    <cacheField name="Total_Sales" numFmtId="0">
      <sharedItems containsSemiMixedTypes="0" containsString="0" containsNumber="1" containsInteger="1" minValue="801" maxValue="19710"/>
    </cacheField>
    <cacheField name="Profit" numFmtId="0">
      <sharedItems containsSemiMixedTypes="0" containsString="0" containsNumber="1" containsInteger="1" minValue="-2870" maxValue="18210"/>
    </cacheField>
  </cacheFields>
  <extLst>
    <ext xmlns:x14="http://schemas.microsoft.com/office/spreadsheetml/2009/9/main" uri="{725AE2AE-9491-48be-B2B4-4EB974FC3084}">
      <x14:pivotCacheDefinition pivotCacheId="20285570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26-01-2024"/>
    <s v="C104"/>
    <s v="P205"/>
    <x v="0"/>
    <x v="0"/>
    <n v="9"/>
    <n v="868"/>
    <s v="Chair"/>
    <x v="0"/>
    <n v="150"/>
    <x v="0"/>
    <x v="0"/>
    <n v="7812"/>
    <n v="6462"/>
  </r>
  <r>
    <x v="1"/>
    <s v="02-09-2024"/>
    <s v="C104"/>
    <s v="P202"/>
    <x v="1"/>
    <x v="1"/>
    <n v="5"/>
    <n v="1754"/>
    <s v="Printer"/>
    <x v="1"/>
    <n v="1100"/>
    <x v="0"/>
    <x v="0"/>
    <n v="8770"/>
    <n v="3270"/>
  </r>
  <r>
    <x v="2"/>
    <s v="29-04-2024"/>
    <s v="C105"/>
    <s v="P204"/>
    <x v="0"/>
    <x v="2"/>
    <n v="9"/>
    <n v="1110"/>
    <s v="Desk"/>
    <x v="0"/>
    <n v="300"/>
    <x v="1"/>
    <x v="1"/>
    <n v="9990"/>
    <n v="7290"/>
  </r>
  <r>
    <x v="3"/>
    <s v="13-10-2024"/>
    <s v="C104"/>
    <s v="P201"/>
    <x v="2"/>
    <x v="2"/>
    <n v="1"/>
    <n v="1049"/>
    <s v="Laptop"/>
    <x v="1"/>
    <n v="900"/>
    <x v="0"/>
    <x v="0"/>
    <n v="1049"/>
    <n v="149"/>
  </r>
  <r>
    <x v="4"/>
    <s v="27-11-2024"/>
    <s v="C101"/>
    <s v="P204"/>
    <x v="1"/>
    <x v="2"/>
    <n v="5"/>
    <n v="1570"/>
    <s v="Desk"/>
    <x v="0"/>
    <n v="300"/>
    <x v="2"/>
    <x v="1"/>
    <n v="7850"/>
    <n v="6350"/>
  </r>
  <r>
    <x v="5"/>
    <s v="23-11-2024"/>
    <s v="C101"/>
    <s v="P204"/>
    <x v="3"/>
    <x v="3"/>
    <n v="2"/>
    <n v="1629"/>
    <s v="Desk"/>
    <x v="0"/>
    <n v="300"/>
    <x v="2"/>
    <x v="1"/>
    <n v="3258"/>
    <n v="2658"/>
  </r>
  <r>
    <x v="6"/>
    <s v="16-11-2024"/>
    <s v="C101"/>
    <s v="P203"/>
    <x v="1"/>
    <x v="0"/>
    <n v="6"/>
    <n v="1972"/>
    <s v="Mobile"/>
    <x v="1"/>
    <n v="600"/>
    <x v="2"/>
    <x v="1"/>
    <n v="11832"/>
    <n v="8232"/>
  </r>
  <r>
    <x v="7"/>
    <s v="09-05-2024"/>
    <s v="C101"/>
    <s v="P201"/>
    <x v="0"/>
    <x v="2"/>
    <n v="3"/>
    <n v="943"/>
    <s v="Laptop"/>
    <x v="1"/>
    <n v="900"/>
    <x v="2"/>
    <x v="1"/>
    <n v="2829"/>
    <n v="129"/>
  </r>
  <r>
    <x v="8"/>
    <s v="09-04-2024"/>
    <s v="C103"/>
    <s v="P204"/>
    <x v="0"/>
    <x v="0"/>
    <n v="5"/>
    <n v="1680"/>
    <s v="Desk"/>
    <x v="0"/>
    <n v="300"/>
    <x v="3"/>
    <x v="0"/>
    <n v="8400"/>
    <n v="6900"/>
  </r>
  <r>
    <x v="9"/>
    <s v="06-09-2024"/>
    <s v="C102"/>
    <s v="P202"/>
    <x v="1"/>
    <x v="0"/>
    <n v="1"/>
    <n v="1046"/>
    <s v="Printer"/>
    <x v="1"/>
    <n v="1100"/>
    <x v="4"/>
    <x v="1"/>
    <n v="1046"/>
    <n v="-54"/>
  </r>
  <r>
    <x v="10"/>
    <s v="26-12-2024"/>
    <s v="C102"/>
    <s v="P205"/>
    <x v="1"/>
    <x v="2"/>
    <n v="7"/>
    <n v="990"/>
    <s v="Chair"/>
    <x v="0"/>
    <n v="150"/>
    <x v="4"/>
    <x v="1"/>
    <n v="6930"/>
    <n v="5880"/>
  </r>
  <r>
    <x v="11"/>
    <s v="07-10-2024"/>
    <s v="C102"/>
    <s v="P204"/>
    <x v="2"/>
    <x v="1"/>
    <n v="8"/>
    <n v="1039"/>
    <s v="Desk"/>
    <x v="0"/>
    <n v="300"/>
    <x v="4"/>
    <x v="1"/>
    <n v="8312"/>
    <n v="5912"/>
  </r>
  <r>
    <x v="12"/>
    <s v="22-08-2024"/>
    <s v="C105"/>
    <s v="P204"/>
    <x v="3"/>
    <x v="1"/>
    <n v="3"/>
    <n v="1492"/>
    <s v="Desk"/>
    <x v="0"/>
    <n v="300"/>
    <x v="1"/>
    <x v="1"/>
    <n v="4476"/>
    <n v="3576"/>
  </r>
  <r>
    <x v="13"/>
    <s v="24-07-2024"/>
    <s v="C105"/>
    <s v="P203"/>
    <x v="2"/>
    <x v="0"/>
    <n v="8"/>
    <n v="854"/>
    <s v="Mobile"/>
    <x v="1"/>
    <n v="600"/>
    <x v="1"/>
    <x v="1"/>
    <n v="6832"/>
    <n v="2032"/>
  </r>
  <r>
    <x v="14"/>
    <s v="22-02-2024"/>
    <s v="C101"/>
    <s v="P204"/>
    <x v="2"/>
    <x v="0"/>
    <n v="7"/>
    <n v="1417"/>
    <s v="Desk"/>
    <x v="0"/>
    <n v="300"/>
    <x v="2"/>
    <x v="1"/>
    <n v="9919"/>
    <n v="7819"/>
  </r>
  <r>
    <x v="15"/>
    <s v="08-05-2024"/>
    <s v="C101"/>
    <s v="P203"/>
    <x v="1"/>
    <x v="0"/>
    <n v="2"/>
    <n v="1030"/>
    <s v="Mobile"/>
    <x v="1"/>
    <n v="600"/>
    <x v="2"/>
    <x v="1"/>
    <n v="2060"/>
    <n v="860"/>
  </r>
  <r>
    <x v="16"/>
    <s v="06-09-2024"/>
    <s v="C101"/>
    <s v="P205"/>
    <x v="3"/>
    <x v="0"/>
    <n v="5"/>
    <n v="1044"/>
    <s v="Chair"/>
    <x v="0"/>
    <n v="150"/>
    <x v="2"/>
    <x v="1"/>
    <n v="5220"/>
    <n v="4470"/>
  </r>
  <r>
    <x v="17"/>
    <s v="28-08-2024"/>
    <s v="C103"/>
    <s v="P205"/>
    <x v="2"/>
    <x v="1"/>
    <n v="1"/>
    <n v="1774"/>
    <s v="Chair"/>
    <x v="0"/>
    <n v="150"/>
    <x v="3"/>
    <x v="0"/>
    <n v="1774"/>
    <n v="1624"/>
  </r>
  <r>
    <x v="18"/>
    <s v="14-01-2024"/>
    <s v="C104"/>
    <s v="P205"/>
    <x v="0"/>
    <x v="2"/>
    <n v="2"/>
    <n v="1756"/>
    <s v="Chair"/>
    <x v="0"/>
    <n v="150"/>
    <x v="0"/>
    <x v="0"/>
    <n v="3512"/>
    <n v="3212"/>
  </r>
  <r>
    <x v="19"/>
    <s v="04-11-2024"/>
    <s v="C102"/>
    <s v="P205"/>
    <x v="2"/>
    <x v="0"/>
    <n v="5"/>
    <n v="835"/>
    <s v="Chair"/>
    <x v="0"/>
    <n v="150"/>
    <x v="4"/>
    <x v="1"/>
    <n v="4175"/>
    <n v="3425"/>
  </r>
  <r>
    <x v="20"/>
    <s v="26-04-2024"/>
    <s v="C101"/>
    <s v="P203"/>
    <x v="0"/>
    <x v="1"/>
    <n v="10"/>
    <n v="1221"/>
    <s v="Mobile"/>
    <x v="1"/>
    <n v="600"/>
    <x v="2"/>
    <x v="1"/>
    <n v="12210"/>
    <n v="6210"/>
  </r>
  <r>
    <x v="21"/>
    <s v="27-12-2024"/>
    <s v="C105"/>
    <s v="P203"/>
    <x v="0"/>
    <x v="3"/>
    <n v="9"/>
    <n v="1235"/>
    <s v="Mobile"/>
    <x v="1"/>
    <n v="600"/>
    <x v="1"/>
    <x v="1"/>
    <n v="11115"/>
    <n v="5715"/>
  </r>
  <r>
    <x v="22"/>
    <s v="29-03-2024"/>
    <s v="C101"/>
    <s v="P203"/>
    <x v="2"/>
    <x v="0"/>
    <n v="8"/>
    <n v="862"/>
    <s v="Mobile"/>
    <x v="1"/>
    <n v="600"/>
    <x v="2"/>
    <x v="1"/>
    <n v="6896"/>
    <n v="2096"/>
  </r>
  <r>
    <x v="23"/>
    <s v="13-03-2024"/>
    <s v="C103"/>
    <s v="P204"/>
    <x v="1"/>
    <x v="0"/>
    <n v="1"/>
    <n v="1520"/>
    <s v="Desk"/>
    <x v="0"/>
    <n v="300"/>
    <x v="3"/>
    <x v="0"/>
    <n v="1520"/>
    <n v="1220"/>
  </r>
  <r>
    <x v="24"/>
    <s v="03-09-2024"/>
    <s v="C104"/>
    <s v="P205"/>
    <x v="2"/>
    <x v="3"/>
    <n v="2"/>
    <n v="825"/>
    <s v="Chair"/>
    <x v="0"/>
    <n v="150"/>
    <x v="0"/>
    <x v="0"/>
    <n v="1650"/>
    <n v="1350"/>
  </r>
  <r>
    <x v="25"/>
    <s v="28-01-2024"/>
    <s v="C103"/>
    <s v="P203"/>
    <x v="1"/>
    <x v="3"/>
    <n v="9"/>
    <n v="1146"/>
    <s v="Mobile"/>
    <x v="1"/>
    <n v="600"/>
    <x v="3"/>
    <x v="0"/>
    <n v="10314"/>
    <n v="4914"/>
  </r>
  <r>
    <x v="26"/>
    <s v="22-12-2024"/>
    <s v="C102"/>
    <s v="P203"/>
    <x v="3"/>
    <x v="0"/>
    <n v="5"/>
    <n v="1411"/>
    <s v="Mobile"/>
    <x v="1"/>
    <n v="600"/>
    <x v="4"/>
    <x v="1"/>
    <n v="7055"/>
    <n v="4055"/>
  </r>
  <r>
    <x v="27"/>
    <s v="20-12-2024"/>
    <s v="C104"/>
    <s v="P202"/>
    <x v="0"/>
    <x v="0"/>
    <n v="8"/>
    <n v="1735"/>
    <s v="Printer"/>
    <x v="1"/>
    <n v="1100"/>
    <x v="0"/>
    <x v="0"/>
    <n v="13880"/>
    <n v="5080"/>
  </r>
  <r>
    <x v="28"/>
    <s v="04-01-2024"/>
    <s v="C102"/>
    <s v="P201"/>
    <x v="1"/>
    <x v="3"/>
    <n v="2"/>
    <n v="1624"/>
    <s v="Laptop"/>
    <x v="1"/>
    <n v="900"/>
    <x v="4"/>
    <x v="1"/>
    <n v="3248"/>
    <n v="1448"/>
  </r>
  <r>
    <x v="29"/>
    <s v="03-11-2024"/>
    <s v="C103"/>
    <s v="P205"/>
    <x v="1"/>
    <x v="0"/>
    <n v="5"/>
    <n v="1295"/>
    <s v="Chair"/>
    <x v="0"/>
    <n v="150"/>
    <x v="3"/>
    <x v="0"/>
    <n v="6475"/>
    <n v="5725"/>
  </r>
  <r>
    <x v="30"/>
    <s v="26-02-2024"/>
    <s v="C105"/>
    <s v="P203"/>
    <x v="3"/>
    <x v="1"/>
    <n v="5"/>
    <n v="1791"/>
    <s v="Mobile"/>
    <x v="1"/>
    <n v="600"/>
    <x v="1"/>
    <x v="1"/>
    <n v="8955"/>
    <n v="5955"/>
  </r>
  <r>
    <x v="31"/>
    <s v="27-07-2024"/>
    <s v="C103"/>
    <s v="P202"/>
    <x v="1"/>
    <x v="2"/>
    <n v="5"/>
    <n v="1264"/>
    <s v="Printer"/>
    <x v="1"/>
    <n v="1100"/>
    <x v="3"/>
    <x v="0"/>
    <n v="6320"/>
    <n v="820"/>
  </r>
  <r>
    <x v="32"/>
    <s v="11-12-2024"/>
    <s v="C103"/>
    <s v="P202"/>
    <x v="3"/>
    <x v="3"/>
    <n v="6"/>
    <n v="1134"/>
    <s v="Printer"/>
    <x v="1"/>
    <n v="1100"/>
    <x v="3"/>
    <x v="0"/>
    <n v="6804"/>
    <n v="204"/>
  </r>
  <r>
    <x v="33"/>
    <s v="26-10-2024"/>
    <s v="C103"/>
    <s v="P205"/>
    <x v="1"/>
    <x v="3"/>
    <n v="4"/>
    <n v="1208"/>
    <s v="Chair"/>
    <x v="0"/>
    <n v="150"/>
    <x v="3"/>
    <x v="0"/>
    <n v="4832"/>
    <n v="4232"/>
  </r>
  <r>
    <x v="34"/>
    <s v="08-02-2024"/>
    <s v="C105"/>
    <s v="P203"/>
    <x v="3"/>
    <x v="0"/>
    <n v="7"/>
    <n v="1164"/>
    <s v="Mobile"/>
    <x v="1"/>
    <n v="600"/>
    <x v="1"/>
    <x v="1"/>
    <n v="8148"/>
    <n v="3948"/>
  </r>
  <r>
    <x v="35"/>
    <s v="06-01-2024"/>
    <s v="C103"/>
    <s v="P202"/>
    <x v="0"/>
    <x v="2"/>
    <n v="9"/>
    <n v="995"/>
    <s v="Printer"/>
    <x v="1"/>
    <n v="1100"/>
    <x v="3"/>
    <x v="0"/>
    <n v="8955"/>
    <n v="-945"/>
  </r>
  <r>
    <x v="36"/>
    <s v="13-11-2024"/>
    <s v="C103"/>
    <s v="P203"/>
    <x v="3"/>
    <x v="1"/>
    <n v="6"/>
    <n v="1337"/>
    <s v="Mobile"/>
    <x v="1"/>
    <n v="600"/>
    <x v="3"/>
    <x v="0"/>
    <n v="8022"/>
    <n v="4422"/>
  </r>
  <r>
    <x v="37"/>
    <s v="01-11-2024"/>
    <s v="C103"/>
    <s v="P204"/>
    <x v="3"/>
    <x v="0"/>
    <n v="6"/>
    <n v="980"/>
    <s v="Desk"/>
    <x v="0"/>
    <n v="300"/>
    <x v="3"/>
    <x v="0"/>
    <n v="5880"/>
    <n v="4080"/>
  </r>
  <r>
    <x v="38"/>
    <s v="04-05-2024"/>
    <s v="C102"/>
    <s v="P203"/>
    <x v="3"/>
    <x v="3"/>
    <n v="5"/>
    <n v="1933"/>
    <s v="Mobile"/>
    <x v="1"/>
    <n v="600"/>
    <x v="4"/>
    <x v="1"/>
    <n v="9665"/>
    <n v="6665"/>
  </r>
  <r>
    <x v="39"/>
    <s v="06-10-2024"/>
    <s v="C105"/>
    <s v="P201"/>
    <x v="3"/>
    <x v="2"/>
    <n v="1"/>
    <n v="1386"/>
    <s v="Laptop"/>
    <x v="1"/>
    <n v="900"/>
    <x v="1"/>
    <x v="1"/>
    <n v="1386"/>
    <n v="486"/>
  </r>
  <r>
    <x v="40"/>
    <s v="28-01-2024"/>
    <s v="C104"/>
    <s v="P203"/>
    <x v="2"/>
    <x v="0"/>
    <n v="7"/>
    <n v="1452"/>
    <s v="Mobile"/>
    <x v="1"/>
    <n v="600"/>
    <x v="0"/>
    <x v="0"/>
    <n v="10164"/>
    <n v="5964"/>
  </r>
  <r>
    <x v="41"/>
    <s v="06-07-2024"/>
    <s v="C104"/>
    <s v="P205"/>
    <x v="0"/>
    <x v="1"/>
    <n v="3"/>
    <n v="1203"/>
    <s v="Chair"/>
    <x v="0"/>
    <n v="150"/>
    <x v="0"/>
    <x v="0"/>
    <n v="3609"/>
    <n v="3159"/>
  </r>
  <r>
    <x v="42"/>
    <s v="23-05-2024"/>
    <s v="C101"/>
    <s v="P205"/>
    <x v="3"/>
    <x v="2"/>
    <n v="3"/>
    <n v="1508"/>
    <s v="Chair"/>
    <x v="0"/>
    <n v="150"/>
    <x v="2"/>
    <x v="1"/>
    <n v="4524"/>
    <n v="4074"/>
  </r>
  <r>
    <x v="43"/>
    <s v="09-10-2024"/>
    <s v="C101"/>
    <s v="P202"/>
    <x v="1"/>
    <x v="3"/>
    <n v="1"/>
    <n v="1116"/>
    <s v="Printer"/>
    <x v="1"/>
    <n v="1100"/>
    <x v="2"/>
    <x v="1"/>
    <n v="1116"/>
    <n v="16"/>
  </r>
  <r>
    <x v="44"/>
    <s v="30-06-2024"/>
    <s v="C102"/>
    <s v="P205"/>
    <x v="0"/>
    <x v="1"/>
    <n v="4"/>
    <n v="1219"/>
    <s v="Chair"/>
    <x v="0"/>
    <n v="150"/>
    <x v="4"/>
    <x v="1"/>
    <n v="4876"/>
    <n v="4276"/>
  </r>
  <r>
    <x v="45"/>
    <s v="12-08-2024"/>
    <s v="C104"/>
    <s v="P204"/>
    <x v="1"/>
    <x v="0"/>
    <n v="2"/>
    <n v="1381"/>
    <s v="Desk"/>
    <x v="0"/>
    <n v="300"/>
    <x v="0"/>
    <x v="0"/>
    <n v="2762"/>
    <n v="2162"/>
  </r>
  <r>
    <x v="46"/>
    <s v="20-11-2024"/>
    <s v="C105"/>
    <s v="P203"/>
    <x v="1"/>
    <x v="2"/>
    <n v="7"/>
    <n v="1227"/>
    <s v="Mobile"/>
    <x v="1"/>
    <n v="600"/>
    <x v="1"/>
    <x v="1"/>
    <n v="8589"/>
    <n v="4389"/>
  </r>
  <r>
    <x v="47"/>
    <s v="08-01-2024"/>
    <s v="C103"/>
    <s v="P204"/>
    <x v="3"/>
    <x v="1"/>
    <n v="2"/>
    <n v="1599"/>
    <s v="Desk"/>
    <x v="0"/>
    <n v="300"/>
    <x v="3"/>
    <x v="0"/>
    <n v="3198"/>
    <n v="2598"/>
  </r>
  <r>
    <x v="48"/>
    <s v="21-11-2024"/>
    <s v="C105"/>
    <s v="P203"/>
    <x v="1"/>
    <x v="1"/>
    <n v="9"/>
    <n v="1984"/>
    <s v="Mobile"/>
    <x v="1"/>
    <n v="600"/>
    <x v="1"/>
    <x v="1"/>
    <n v="17856"/>
    <n v="12456"/>
  </r>
  <r>
    <x v="49"/>
    <s v="08-02-2024"/>
    <s v="C103"/>
    <s v="P202"/>
    <x v="1"/>
    <x v="1"/>
    <n v="8"/>
    <n v="1444"/>
    <s v="Printer"/>
    <x v="1"/>
    <n v="1100"/>
    <x v="3"/>
    <x v="0"/>
    <n v="11552"/>
    <n v="2752"/>
  </r>
  <r>
    <x v="50"/>
    <s v="19-04-2024"/>
    <s v="C104"/>
    <s v="P204"/>
    <x v="0"/>
    <x v="3"/>
    <n v="7"/>
    <n v="1948"/>
    <s v="Desk"/>
    <x v="0"/>
    <n v="300"/>
    <x v="0"/>
    <x v="0"/>
    <n v="13636"/>
    <n v="11536"/>
  </r>
  <r>
    <x v="51"/>
    <s v="18-11-2024"/>
    <s v="C103"/>
    <s v="P204"/>
    <x v="1"/>
    <x v="3"/>
    <n v="7"/>
    <n v="891"/>
    <s v="Desk"/>
    <x v="0"/>
    <n v="300"/>
    <x v="3"/>
    <x v="0"/>
    <n v="6237"/>
    <n v="4137"/>
  </r>
  <r>
    <x v="52"/>
    <s v="21-08-2024"/>
    <s v="C105"/>
    <s v="P205"/>
    <x v="2"/>
    <x v="0"/>
    <n v="7"/>
    <n v="1276"/>
    <s v="Chair"/>
    <x v="0"/>
    <n v="150"/>
    <x v="1"/>
    <x v="1"/>
    <n v="8932"/>
    <n v="7882"/>
  </r>
  <r>
    <x v="53"/>
    <s v="07-05-2024"/>
    <s v="C105"/>
    <s v="P203"/>
    <x v="1"/>
    <x v="3"/>
    <n v="8"/>
    <n v="956"/>
    <s v="Mobile"/>
    <x v="1"/>
    <n v="600"/>
    <x v="1"/>
    <x v="1"/>
    <n v="7648"/>
    <n v="2848"/>
  </r>
  <r>
    <x v="54"/>
    <s v="31-05-2024"/>
    <s v="C104"/>
    <s v="P204"/>
    <x v="0"/>
    <x v="2"/>
    <n v="2"/>
    <n v="1939"/>
    <s v="Desk"/>
    <x v="0"/>
    <n v="300"/>
    <x v="0"/>
    <x v="0"/>
    <n v="3878"/>
    <n v="3278"/>
  </r>
  <r>
    <x v="55"/>
    <s v="01-11-2024"/>
    <s v="C104"/>
    <s v="P202"/>
    <x v="2"/>
    <x v="0"/>
    <n v="7"/>
    <n v="1185"/>
    <s v="Printer"/>
    <x v="1"/>
    <n v="1100"/>
    <x v="0"/>
    <x v="0"/>
    <n v="8295"/>
    <n v="595"/>
  </r>
  <r>
    <x v="56"/>
    <s v="02-07-2024"/>
    <s v="C101"/>
    <s v="P203"/>
    <x v="1"/>
    <x v="1"/>
    <n v="9"/>
    <n v="1320"/>
    <s v="Mobile"/>
    <x v="1"/>
    <n v="600"/>
    <x v="2"/>
    <x v="1"/>
    <n v="11880"/>
    <n v="6480"/>
  </r>
  <r>
    <x v="57"/>
    <s v="01-10-2024"/>
    <s v="C103"/>
    <s v="P203"/>
    <x v="3"/>
    <x v="2"/>
    <n v="9"/>
    <n v="1655"/>
    <s v="Mobile"/>
    <x v="1"/>
    <n v="600"/>
    <x v="3"/>
    <x v="0"/>
    <n v="14895"/>
    <n v="9495"/>
  </r>
  <r>
    <x v="58"/>
    <s v="16-06-2024"/>
    <s v="C105"/>
    <s v="P201"/>
    <x v="3"/>
    <x v="2"/>
    <n v="10"/>
    <n v="906"/>
    <s v="Laptop"/>
    <x v="1"/>
    <n v="900"/>
    <x v="1"/>
    <x v="1"/>
    <n v="9060"/>
    <n v="60"/>
  </r>
  <r>
    <x v="59"/>
    <s v="10-01-2024"/>
    <s v="C101"/>
    <s v="P202"/>
    <x v="2"/>
    <x v="3"/>
    <n v="4"/>
    <n v="1638"/>
    <s v="Printer"/>
    <x v="1"/>
    <n v="1100"/>
    <x v="2"/>
    <x v="1"/>
    <n v="6552"/>
    <n v="2152"/>
  </r>
  <r>
    <x v="60"/>
    <s v="30-05-2024"/>
    <s v="C101"/>
    <s v="P204"/>
    <x v="2"/>
    <x v="0"/>
    <n v="10"/>
    <n v="1308"/>
    <s v="Desk"/>
    <x v="0"/>
    <n v="300"/>
    <x v="2"/>
    <x v="1"/>
    <n v="13080"/>
    <n v="10080"/>
  </r>
  <r>
    <x v="61"/>
    <s v="13-02-2024"/>
    <s v="C102"/>
    <s v="P205"/>
    <x v="0"/>
    <x v="2"/>
    <n v="4"/>
    <n v="1434"/>
    <s v="Chair"/>
    <x v="0"/>
    <n v="150"/>
    <x v="4"/>
    <x v="1"/>
    <n v="5736"/>
    <n v="5136"/>
  </r>
  <r>
    <x v="62"/>
    <s v="20-05-2024"/>
    <s v="C102"/>
    <s v="P202"/>
    <x v="0"/>
    <x v="0"/>
    <n v="8"/>
    <n v="1463"/>
    <s v="Printer"/>
    <x v="1"/>
    <n v="1100"/>
    <x v="4"/>
    <x v="1"/>
    <n v="11704"/>
    <n v="2904"/>
  </r>
  <r>
    <x v="63"/>
    <s v="19-01-2024"/>
    <s v="C104"/>
    <s v="P202"/>
    <x v="3"/>
    <x v="0"/>
    <n v="1"/>
    <n v="1206"/>
    <s v="Printer"/>
    <x v="1"/>
    <n v="1100"/>
    <x v="0"/>
    <x v="0"/>
    <n v="1206"/>
    <n v="106"/>
  </r>
  <r>
    <x v="64"/>
    <s v="15-10-2024"/>
    <s v="C102"/>
    <s v="P204"/>
    <x v="1"/>
    <x v="2"/>
    <n v="6"/>
    <n v="880"/>
    <s v="Desk"/>
    <x v="0"/>
    <n v="300"/>
    <x v="4"/>
    <x v="1"/>
    <n v="5280"/>
    <n v="3480"/>
  </r>
  <r>
    <x v="65"/>
    <s v="28-10-2024"/>
    <s v="C105"/>
    <s v="P204"/>
    <x v="2"/>
    <x v="1"/>
    <n v="5"/>
    <n v="1444"/>
    <s v="Desk"/>
    <x v="0"/>
    <n v="300"/>
    <x v="1"/>
    <x v="1"/>
    <n v="7220"/>
    <n v="5720"/>
  </r>
  <r>
    <x v="66"/>
    <s v="16-06-2024"/>
    <s v="C104"/>
    <s v="P203"/>
    <x v="1"/>
    <x v="3"/>
    <n v="1"/>
    <n v="1122"/>
    <s v="Mobile"/>
    <x v="1"/>
    <n v="600"/>
    <x v="0"/>
    <x v="0"/>
    <n v="1122"/>
    <n v="522"/>
  </r>
  <r>
    <x v="67"/>
    <s v="21-06-2024"/>
    <s v="C103"/>
    <s v="P205"/>
    <x v="1"/>
    <x v="1"/>
    <n v="6"/>
    <n v="912"/>
    <s v="Chair"/>
    <x v="0"/>
    <n v="150"/>
    <x v="3"/>
    <x v="0"/>
    <n v="5472"/>
    <n v="4572"/>
  </r>
  <r>
    <x v="68"/>
    <s v="04-03-2024"/>
    <s v="C104"/>
    <s v="P203"/>
    <x v="1"/>
    <x v="3"/>
    <n v="5"/>
    <n v="1349"/>
    <s v="Mobile"/>
    <x v="1"/>
    <n v="600"/>
    <x v="0"/>
    <x v="0"/>
    <n v="6745"/>
    <n v="3745"/>
  </r>
  <r>
    <x v="69"/>
    <s v="13-11-2024"/>
    <s v="C101"/>
    <s v="P202"/>
    <x v="1"/>
    <x v="3"/>
    <n v="6"/>
    <n v="1614"/>
    <s v="Printer"/>
    <x v="1"/>
    <n v="1100"/>
    <x v="2"/>
    <x v="1"/>
    <n v="9684"/>
    <n v="3084"/>
  </r>
  <r>
    <x v="70"/>
    <s v="04-06-2024"/>
    <s v="C101"/>
    <s v="P204"/>
    <x v="3"/>
    <x v="2"/>
    <n v="5"/>
    <n v="1764"/>
    <s v="Desk"/>
    <x v="0"/>
    <n v="300"/>
    <x v="2"/>
    <x v="1"/>
    <n v="8820"/>
    <n v="7320"/>
  </r>
  <r>
    <x v="71"/>
    <s v="14-10-2024"/>
    <s v="C104"/>
    <s v="P203"/>
    <x v="0"/>
    <x v="3"/>
    <n v="5"/>
    <n v="1710"/>
    <s v="Mobile"/>
    <x v="1"/>
    <n v="600"/>
    <x v="0"/>
    <x v="0"/>
    <n v="8550"/>
    <n v="5550"/>
  </r>
  <r>
    <x v="72"/>
    <s v="16-02-2024"/>
    <s v="C103"/>
    <s v="P203"/>
    <x v="2"/>
    <x v="2"/>
    <n v="3"/>
    <n v="1377"/>
    <s v="Mobile"/>
    <x v="1"/>
    <n v="600"/>
    <x v="3"/>
    <x v="0"/>
    <n v="4131"/>
    <n v="2331"/>
  </r>
  <r>
    <x v="73"/>
    <s v="19-09-2024"/>
    <s v="C105"/>
    <s v="P205"/>
    <x v="1"/>
    <x v="1"/>
    <n v="1"/>
    <n v="1393"/>
    <s v="Chair"/>
    <x v="0"/>
    <n v="150"/>
    <x v="1"/>
    <x v="1"/>
    <n v="1393"/>
    <n v="1243"/>
  </r>
  <r>
    <x v="74"/>
    <s v="17-03-2024"/>
    <s v="C104"/>
    <s v="P205"/>
    <x v="3"/>
    <x v="1"/>
    <n v="5"/>
    <n v="920"/>
    <s v="Chair"/>
    <x v="0"/>
    <n v="150"/>
    <x v="0"/>
    <x v="0"/>
    <n v="4600"/>
    <n v="3850"/>
  </r>
  <r>
    <x v="75"/>
    <s v="09-08-2024"/>
    <s v="C104"/>
    <s v="P204"/>
    <x v="3"/>
    <x v="0"/>
    <n v="1"/>
    <n v="1483"/>
    <s v="Desk"/>
    <x v="0"/>
    <n v="300"/>
    <x v="0"/>
    <x v="0"/>
    <n v="1483"/>
    <n v="1183"/>
  </r>
  <r>
    <x v="76"/>
    <s v="24-10-2024"/>
    <s v="C104"/>
    <s v="P204"/>
    <x v="1"/>
    <x v="3"/>
    <n v="2"/>
    <n v="1705"/>
    <s v="Desk"/>
    <x v="0"/>
    <n v="300"/>
    <x v="0"/>
    <x v="0"/>
    <n v="3410"/>
    <n v="2810"/>
  </r>
  <r>
    <x v="77"/>
    <s v="10-02-2024"/>
    <s v="C101"/>
    <s v="P205"/>
    <x v="0"/>
    <x v="0"/>
    <n v="8"/>
    <n v="1425"/>
    <s v="Chair"/>
    <x v="0"/>
    <n v="150"/>
    <x v="2"/>
    <x v="1"/>
    <n v="11400"/>
    <n v="10200"/>
  </r>
  <r>
    <x v="78"/>
    <s v="09-01-2024"/>
    <s v="C101"/>
    <s v="P205"/>
    <x v="3"/>
    <x v="0"/>
    <n v="8"/>
    <n v="1903"/>
    <s v="Chair"/>
    <x v="0"/>
    <n v="150"/>
    <x v="2"/>
    <x v="1"/>
    <n v="15224"/>
    <n v="14024"/>
  </r>
  <r>
    <x v="79"/>
    <s v="06-12-2024"/>
    <s v="C103"/>
    <s v="P202"/>
    <x v="1"/>
    <x v="3"/>
    <n v="10"/>
    <n v="1607"/>
    <s v="Printer"/>
    <x v="1"/>
    <n v="1100"/>
    <x v="3"/>
    <x v="0"/>
    <n v="16070"/>
    <n v="5070"/>
  </r>
  <r>
    <x v="80"/>
    <s v="03-11-2024"/>
    <s v="C104"/>
    <s v="P204"/>
    <x v="3"/>
    <x v="0"/>
    <n v="4"/>
    <n v="1901"/>
    <s v="Desk"/>
    <x v="0"/>
    <n v="300"/>
    <x v="0"/>
    <x v="0"/>
    <n v="7604"/>
    <n v="6404"/>
  </r>
  <r>
    <x v="81"/>
    <s v="18-11-2024"/>
    <s v="C101"/>
    <s v="P204"/>
    <x v="2"/>
    <x v="0"/>
    <n v="5"/>
    <n v="1975"/>
    <s v="Desk"/>
    <x v="0"/>
    <n v="300"/>
    <x v="2"/>
    <x v="1"/>
    <n v="9875"/>
    <n v="8375"/>
  </r>
  <r>
    <x v="82"/>
    <s v="13-08-2024"/>
    <s v="C103"/>
    <s v="P202"/>
    <x v="1"/>
    <x v="3"/>
    <n v="3"/>
    <n v="1645"/>
    <s v="Printer"/>
    <x v="1"/>
    <n v="1100"/>
    <x v="3"/>
    <x v="0"/>
    <n v="4935"/>
    <n v="1635"/>
  </r>
  <r>
    <x v="83"/>
    <s v="05-11-2024"/>
    <s v="C105"/>
    <s v="P201"/>
    <x v="3"/>
    <x v="0"/>
    <n v="3"/>
    <n v="1128"/>
    <s v="Laptop"/>
    <x v="1"/>
    <n v="900"/>
    <x v="1"/>
    <x v="1"/>
    <n v="3384"/>
    <n v="684"/>
  </r>
  <r>
    <x v="84"/>
    <s v="24-02-2024"/>
    <s v="C105"/>
    <s v="P201"/>
    <x v="3"/>
    <x v="1"/>
    <n v="7"/>
    <n v="1554"/>
    <s v="Laptop"/>
    <x v="1"/>
    <n v="900"/>
    <x v="1"/>
    <x v="1"/>
    <n v="10878"/>
    <n v="4578"/>
  </r>
  <r>
    <x v="85"/>
    <s v="05-06-2024"/>
    <s v="C102"/>
    <s v="P201"/>
    <x v="1"/>
    <x v="1"/>
    <n v="5"/>
    <n v="1548"/>
    <s v="Laptop"/>
    <x v="1"/>
    <n v="900"/>
    <x v="4"/>
    <x v="1"/>
    <n v="7740"/>
    <n v="3240"/>
  </r>
  <r>
    <x v="86"/>
    <s v="19-07-2024"/>
    <s v="C103"/>
    <s v="P205"/>
    <x v="3"/>
    <x v="3"/>
    <n v="7"/>
    <n v="1305"/>
    <s v="Chair"/>
    <x v="0"/>
    <n v="150"/>
    <x v="3"/>
    <x v="0"/>
    <n v="9135"/>
    <n v="8085"/>
  </r>
  <r>
    <x v="87"/>
    <s v="25-09-2024"/>
    <s v="C103"/>
    <s v="P205"/>
    <x v="2"/>
    <x v="0"/>
    <n v="10"/>
    <n v="1913"/>
    <s v="Chair"/>
    <x v="0"/>
    <n v="150"/>
    <x v="3"/>
    <x v="0"/>
    <n v="19130"/>
    <n v="17630"/>
  </r>
  <r>
    <x v="88"/>
    <s v="25-06-2024"/>
    <s v="C103"/>
    <s v="P201"/>
    <x v="0"/>
    <x v="2"/>
    <n v="3"/>
    <n v="1249"/>
    <s v="Laptop"/>
    <x v="1"/>
    <n v="900"/>
    <x v="3"/>
    <x v="0"/>
    <n v="3747"/>
    <n v="1047"/>
  </r>
  <r>
    <x v="89"/>
    <s v="03-11-2024"/>
    <s v="C102"/>
    <s v="P202"/>
    <x v="2"/>
    <x v="0"/>
    <n v="2"/>
    <n v="1438"/>
    <s v="Printer"/>
    <x v="1"/>
    <n v="1100"/>
    <x v="4"/>
    <x v="1"/>
    <n v="2876"/>
    <n v="676"/>
  </r>
  <r>
    <x v="90"/>
    <s v="03-06-2024"/>
    <s v="C101"/>
    <s v="P202"/>
    <x v="0"/>
    <x v="3"/>
    <n v="1"/>
    <n v="1996"/>
    <s v="Printer"/>
    <x v="1"/>
    <n v="1100"/>
    <x v="2"/>
    <x v="1"/>
    <n v="1996"/>
    <n v="896"/>
  </r>
  <r>
    <x v="91"/>
    <s v="21-12-2024"/>
    <s v="C103"/>
    <s v="P202"/>
    <x v="3"/>
    <x v="3"/>
    <n v="3"/>
    <n v="820"/>
    <s v="Printer"/>
    <x v="1"/>
    <n v="1100"/>
    <x v="3"/>
    <x v="0"/>
    <n v="2460"/>
    <n v="-840"/>
  </r>
  <r>
    <x v="92"/>
    <s v="16-04-2024"/>
    <s v="C101"/>
    <s v="P201"/>
    <x v="0"/>
    <x v="1"/>
    <n v="8"/>
    <n v="1041"/>
    <s v="Laptop"/>
    <x v="1"/>
    <n v="900"/>
    <x v="2"/>
    <x v="1"/>
    <n v="8328"/>
    <n v="1128"/>
  </r>
  <r>
    <x v="93"/>
    <s v="06-12-2024"/>
    <s v="C105"/>
    <s v="P203"/>
    <x v="2"/>
    <x v="3"/>
    <n v="6"/>
    <n v="1918"/>
    <s v="Mobile"/>
    <x v="1"/>
    <n v="600"/>
    <x v="1"/>
    <x v="1"/>
    <n v="11508"/>
    <n v="7908"/>
  </r>
  <r>
    <x v="94"/>
    <s v="14-03-2024"/>
    <s v="C102"/>
    <s v="P205"/>
    <x v="0"/>
    <x v="0"/>
    <n v="7"/>
    <n v="1900"/>
    <s v="Chair"/>
    <x v="0"/>
    <n v="150"/>
    <x v="4"/>
    <x v="1"/>
    <n v="13300"/>
    <n v="12250"/>
  </r>
  <r>
    <x v="95"/>
    <s v="07-05-2024"/>
    <s v="C101"/>
    <s v="P201"/>
    <x v="0"/>
    <x v="2"/>
    <n v="5"/>
    <n v="1348"/>
    <s v="Laptop"/>
    <x v="1"/>
    <n v="900"/>
    <x v="2"/>
    <x v="1"/>
    <n v="6740"/>
    <n v="2240"/>
  </r>
  <r>
    <x v="96"/>
    <s v="04-01-2024"/>
    <s v="C105"/>
    <s v="P201"/>
    <x v="3"/>
    <x v="0"/>
    <n v="2"/>
    <n v="1070"/>
    <s v="Laptop"/>
    <x v="1"/>
    <n v="900"/>
    <x v="1"/>
    <x v="1"/>
    <n v="2140"/>
    <n v="340"/>
  </r>
  <r>
    <x v="97"/>
    <s v="09-09-2024"/>
    <s v="C101"/>
    <s v="P203"/>
    <x v="0"/>
    <x v="2"/>
    <n v="10"/>
    <n v="1194"/>
    <s v="Mobile"/>
    <x v="1"/>
    <n v="600"/>
    <x v="2"/>
    <x v="1"/>
    <n v="11940"/>
    <n v="5940"/>
  </r>
  <r>
    <x v="98"/>
    <s v="12-02-2024"/>
    <s v="C102"/>
    <s v="P203"/>
    <x v="1"/>
    <x v="1"/>
    <n v="3"/>
    <n v="1953"/>
    <s v="Mobile"/>
    <x v="1"/>
    <n v="600"/>
    <x v="4"/>
    <x v="1"/>
    <n v="5859"/>
    <n v="4059"/>
  </r>
  <r>
    <x v="99"/>
    <s v="11-09-2024"/>
    <s v="C102"/>
    <s v="P205"/>
    <x v="1"/>
    <x v="3"/>
    <n v="5"/>
    <n v="1393"/>
    <s v="Chair"/>
    <x v="0"/>
    <n v="150"/>
    <x v="4"/>
    <x v="1"/>
    <n v="6965"/>
    <n v="6215"/>
  </r>
  <r>
    <x v="100"/>
    <s v="24-06-2024"/>
    <s v="C102"/>
    <s v="P205"/>
    <x v="3"/>
    <x v="1"/>
    <n v="2"/>
    <n v="1720"/>
    <s v="Chair"/>
    <x v="0"/>
    <n v="150"/>
    <x v="4"/>
    <x v="1"/>
    <n v="3440"/>
    <n v="3140"/>
  </r>
  <r>
    <x v="101"/>
    <s v="30-11-2024"/>
    <s v="C105"/>
    <s v="P205"/>
    <x v="3"/>
    <x v="0"/>
    <n v="4"/>
    <n v="1366"/>
    <s v="Chair"/>
    <x v="0"/>
    <n v="150"/>
    <x v="1"/>
    <x v="1"/>
    <n v="5464"/>
    <n v="4864"/>
  </r>
  <r>
    <x v="102"/>
    <s v="23-06-2024"/>
    <s v="C105"/>
    <s v="P202"/>
    <x v="1"/>
    <x v="1"/>
    <n v="3"/>
    <n v="807"/>
    <s v="Printer"/>
    <x v="1"/>
    <n v="1100"/>
    <x v="1"/>
    <x v="1"/>
    <n v="2421"/>
    <n v="-879"/>
  </r>
  <r>
    <x v="103"/>
    <s v="24-09-2024"/>
    <s v="C104"/>
    <s v="P205"/>
    <x v="3"/>
    <x v="3"/>
    <n v="5"/>
    <n v="1779"/>
    <s v="Chair"/>
    <x v="0"/>
    <n v="150"/>
    <x v="0"/>
    <x v="0"/>
    <n v="8895"/>
    <n v="8145"/>
  </r>
  <r>
    <x v="104"/>
    <s v="14-09-2024"/>
    <s v="C103"/>
    <s v="P201"/>
    <x v="3"/>
    <x v="2"/>
    <n v="1"/>
    <n v="1713"/>
    <s v="Laptop"/>
    <x v="1"/>
    <n v="900"/>
    <x v="3"/>
    <x v="0"/>
    <n v="1713"/>
    <n v="813"/>
  </r>
  <r>
    <x v="105"/>
    <s v="22-02-2024"/>
    <s v="C104"/>
    <s v="P202"/>
    <x v="1"/>
    <x v="1"/>
    <n v="1"/>
    <n v="1069"/>
    <s v="Printer"/>
    <x v="1"/>
    <n v="1100"/>
    <x v="0"/>
    <x v="0"/>
    <n v="1069"/>
    <n v="-31"/>
  </r>
  <r>
    <x v="106"/>
    <s v="12-05-2024"/>
    <s v="C103"/>
    <s v="P201"/>
    <x v="2"/>
    <x v="2"/>
    <n v="9"/>
    <n v="1179"/>
    <s v="Laptop"/>
    <x v="1"/>
    <n v="900"/>
    <x v="3"/>
    <x v="0"/>
    <n v="10611"/>
    <n v="2511"/>
  </r>
  <r>
    <x v="107"/>
    <s v="11-07-2024"/>
    <s v="C104"/>
    <s v="P203"/>
    <x v="3"/>
    <x v="0"/>
    <n v="7"/>
    <n v="1569"/>
    <s v="Mobile"/>
    <x v="1"/>
    <n v="600"/>
    <x v="0"/>
    <x v="0"/>
    <n v="10983"/>
    <n v="6783"/>
  </r>
  <r>
    <x v="108"/>
    <s v="24-01-2024"/>
    <s v="C104"/>
    <s v="P203"/>
    <x v="2"/>
    <x v="1"/>
    <n v="6"/>
    <n v="1487"/>
    <s v="Mobile"/>
    <x v="1"/>
    <n v="600"/>
    <x v="0"/>
    <x v="0"/>
    <n v="8922"/>
    <n v="5322"/>
  </r>
  <r>
    <x v="109"/>
    <s v="09-04-2024"/>
    <s v="C104"/>
    <s v="P204"/>
    <x v="0"/>
    <x v="2"/>
    <n v="10"/>
    <n v="1542"/>
    <s v="Desk"/>
    <x v="0"/>
    <n v="300"/>
    <x v="0"/>
    <x v="0"/>
    <n v="15420"/>
    <n v="12420"/>
  </r>
  <r>
    <x v="110"/>
    <s v="15-08-2024"/>
    <s v="C103"/>
    <s v="P203"/>
    <x v="0"/>
    <x v="1"/>
    <n v="8"/>
    <n v="950"/>
    <s v="Mobile"/>
    <x v="1"/>
    <n v="600"/>
    <x v="3"/>
    <x v="0"/>
    <n v="7600"/>
    <n v="2800"/>
  </r>
  <r>
    <x v="111"/>
    <s v="10-12-2024"/>
    <s v="C101"/>
    <s v="P201"/>
    <x v="1"/>
    <x v="3"/>
    <n v="8"/>
    <n v="1079"/>
    <s v="Laptop"/>
    <x v="1"/>
    <n v="900"/>
    <x v="2"/>
    <x v="1"/>
    <n v="8632"/>
    <n v="1432"/>
  </r>
  <r>
    <x v="112"/>
    <s v="14-11-2024"/>
    <s v="C103"/>
    <s v="P202"/>
    <x v="0"/>
    <x v="3"/>
    <n v="5"/>
    <n v="1544"/>
    <s v="Printer"/>
    <x v="1"/>
    <n v="1100"/>
    <x v="3"/>
    <x v="0"/>
    <n v="7720"/>
    <n v="2220"/>
  </r>
  <r>
    <x v="113"/>
    <s v="23-05-2024"/>
    <s v="C103"/>
    <s v="P204"/>
    <x v="2"/>
    <x v="1"/>
    <n v="1"/>
    <n v="1851"/>
    <s v="Desk"/>
    <x v="0"/>
    <n v="300"/>
    <x v="3"/>
    <x v="0"/>
    <n v="1851"/>
    <n v="1551"/>
  </r>
  <r>
    <x v="114"/>
    <s v="30-12-2024"/>
    <s v="C104"/>
    <s v="P202"/>
    <x v="0"/>
    <x v="2"/>
    <n v="7"/>
    <n v="1377"/>
    <s v="Printer"/>
    <x v="1"/>
    <n v="1100"/>
    <x v="0"/>
    <x v="0"/>
    <n v="9639"/>
    <n v="1939"/>
  </r>
  <r>
    <x v="115"/>
    <s v="28-05-2024"/>
    <s v="C105"/>
    <s v="P205"/>
    <x v="2"/>
    <x v="2"/>
    <n v="8"/>
    <n v="1702"/>
    <s v="Chair"/>
    <x v="0"/>
    <n v="150"/>
    <x v="1"/>
    <x v="1"/>
    <n v="13616"/>
    <n v="12416"/>
  </r>
  <r>
    <x v="116"/>
    <s v="03-04-2024"/>
    <s v="C105"/>
    <s v="P204"/>
    <x v="0"/>
    <x v="0"/>
    <n v="5"/>
    <n v="1672"/>
    <s v="Desk"/>
    <x v="0"/>
    <n v="300"/>
    <x v="1"/>
    <x v="1"/>
    <n v="8360"/>
    <n v="6860"/>
  </r>
  <r>
    <x v="117"/>
    <s v="22-07-2024"/>
    <s v="C105"/>
    <s v="P203"/>
    <x v="3"/>
    <x v="2"/>
    <n v="5"/>
    <n v="1488"/>
    <s v="Mobile"/>
    <x v="1"/>
    <n v="600"/>
    <x v="1"/>
    <x v="1"/>
    <n v="7440"/>
    <n v="4440"/>
  </r>
  <r>
    <x v="118"/>
    <s v="15-05-2024"/>
    <s v="C103"/>
    <s v="P201"/>
    <x v="3"/>
    <x v="2"/>
    <n v="6"/>
    <n v="1382"/>
    <s v="Laptop"/>
    <x v="1"/>
    <n v="900"/>
    <x v="3"/>
    <x v="0"/>
    <n v="8292"/>
    <n v="2892"/>
  </r>
  <r>
    <x v="119"/>
    <s v="29-06-2024"/>
    <s v="C105"/>
    <s v="P202"/>
    <x v="2"/>
    <x v="1"/>
    <n v="10"/>
    <n v="1148"/>
    <s v="Printer"/>
    <x v="1"/>
    <n v="1100"/>
    <x v="1"/>
    <x v="1"/>
    <n v="11480"/>
    <n v="480"/>
  </r>
  <r>
    <x v="120"/>
    <s v="26-09-2024"/>
    <s v="C101"/>
    <s v="P201"/>
    <x v="3"/>
    <x v="0"/>
    <n v="2"/>
    <n v="1114"/>
    <s v="Laptop"/>
    <x v="1"/>
    <n v="900"/>
    <x v="2"/>
    <x v="1"/>
    <n v="2228"/>
    <n v="428"/>
  </r>
  <r>
    <x v="121"/>
    <s v="21-08-2024"/>
    <s v="C102"/>
    <s v="P202"/>
    <x v="0"/>
    <x v="2"/>
    <n v="10"/>
    <n v="1530"/>
    <s v="Printer"/>
    <x v="1"/>
    <n v="1100"/>
    <x v="4"/>
    <x v="1"/>
    <n v="15300"/>
    <n v="4300"/>
  </r>
  <r>
    <x v="122"/>
    <s v="01-07-2024"/>
    <s v="C105"/>
    <s v="P203"/>
    <x v="1"/>
    <x v="0"/>
    <n v="5"/>
    <n v="1758"/>
    <s v="Mobile"/>
    <x v="1"/>
    <n v="600"/>
    <x v="1"/>
    <x v="1"/>
    <n v="8790"/>
    <n v="5790"/>
  </r>
  <r>
    <x v="123"/>
    <s v="29-05-2024"/>
    <s v="C102"/>
    <s v="P202"/>
    <x v="3"/>
    <x v="3"/>
    <n v="1"/>
    <n v="1175"/>
    <s v="Printer"/>
    <x v="1"/>
    <n v="1100"/>
    <x v="4"/>
    <x v="1"/>
    <n v="1175"/>
    <n v="75"/>
  </r>
  <r>
    <x v="124"/>
    <s v="23-04-2024"/>
    <s v="C104"/>
    <s v="P203"/>
    <x v="3"/>
    <x v="3"/>
    <n v="5"/>
    <n v="1598"/>
    <s v="Mobile"/>
    <x v="1"/>
    <n v="600"/>
    <x v="0"/>
    <x v="0"/>
    <n v="7990"/>
    <n v="4990"/>
  </r>
  <r>
    <x v="125"/>
    <s v="26-03-2024"/>
    <s v="C104"/>
    <s v="P204"/>
    <x v="0"/>
    <x v="1"/>
    <n v="3"/>
    <n v="888"/>
    <s v="Desk"/>
    <x v="0"/>
    <n v="300"/>
    <x v="0"/>
    <x v="0"/>
    <n v="2664"/>
    <n v="1764"/>
  </r>
  <r>
    <x v="126"/>
    <s v="23-06-2024"/>
    <s v="C103"/>
    <s v="P203"/>
    <x v="1"/>
    <x v="1"/>
    <n v="7"/>
    <n v="1297"/>
    <s v="Mobile"/>
    <x v="1"/>
    <n v="600"/>
    <x v="3"/>
    <x v="0"/>
    <n v="9079"/>
    <n v="4879"/>
  </r>
  <r>
    <x v="127"/>
    <s v="22-07-2024"/>
    <s v="C102"/>
    <s v="P205"/>
    <x v="3"/>
    <x v="1"/>
    <n v="9"/>
    <n v="1469"/>
    <s v="Chair"/>
    <x v="0"/>
    <n v="150"/>
    <x v="4"/>
    <x v="1"/>
    <n v="13221"/>
    <n v="11871"/>
  </r>
  <r>
    <x v="128"/>
    <s v="15-04-2024"/>
    <s v="C102"/>
    <s v="P204"/>
    <x v="0"/>
    <x v="2"/>
    <n v="5"/>
    <n v="1444"/>
    <s v="Desk"/>
    <x v="0"/>
    <n v="300"/>
    <x v="4"/>
    <x v="1"/>
    <n v="7220"/>
    <n v="5720"/>
  </r>
  <r>
    <x v="129"/>
    <s v="20-03-2024"/>
    <s v="C102"/>
    <s v="P205"/>
    <x v="1"/>
    <x v="0"/>
    <n v="10"/>
    <n v="1331"/>
    <s v="Chair"/>
    <x v="0"/>
    <n v="150"/>
    <x v="4"/>
    <x v="1"/>
    <n v="13310"/>
    <n v="11810"/>
  </r>
  <r>
    <x v="130"/>
    <s v="02-04-2024"/>
    <s v="C105"/>
    <s v="P203"/>
    <x v="2"/>
    <x v="1"/>
    <n v="6"/>
    <n v="1477"/>
    <s v="Mobile"/>
    <x v="1"/>
    <n v="600"/>
    <x v="1"/>
    <x v="1"/>
    <n v="8862"/>
    <n v="5262"/>
  </r>
  <r>
    <x v="131"/>
    <s v="01-09-2024"/>
    <s v="C101"/>
    <s v="P204"/>
    <x v="3"/>
    <x v="3"/>
    <n v="3"/>
    <n v="1560"/>
    <s v="Desk"/>
    <x v="0"/>
    <n v="300"/>
    <x v="2"/>
    <x v="1"/>
    <n v="4680"/>
    <n v="3780"/>
  </r>
  <r>
    <x v="132"/>
    <s v="08-06-2024"/>
    <s v="C104"/>
    <s v="P205"/>
    <x v="0"/>
    <x v="1"/>
    <n v="4"/>
    <n v="1088"/>
    <s v="Chair"/>
    <x v="0"/>
    <n v="150"/>
    <x v="0"/>
    <x v="0"/>
    <n v="4352"/>
    <n v="3752"/>
  </r>
  <r>
    <x v="133"/>
    <s v="29-07-2024"/>
    <s v="C101"/>
    <s v="P202"/>
    <x v="0"/>
    <x v="0"/>
    <n v="7"/>
    <n v="1156"/>
    <s v="Printer"/>
    <x v="1"/>
    <n v="1100"/>
    <x v="2"/>
    <x v="1"/>
    <n v="8092"/>
    <n v="392"/>
  </r>
  <r>
    <x v="134"/>
    <s v="20-05-2024"/>
    <s v="C105"/>
    <s v="P201"/>
    <x v="0"/>
    <x v="3"/>
    <n v="8"/>
    <n v="1174"/>
    <s v="Laptop"/>
    <x v="1"/>
    <n v="900"/>
    <x v="1"/>
    <x v="1"/>
    <n v="9392"/>
    <n v="2192"/>
  </r>
  <r>
    <x v="135"/>
    <s v="09-01-2024"/>
    <s v="C102"/>
    <s v="P205"/>
    <x v="3"/>
    <x v="0"/>
    <n v="4"/>
    <n v="1407"/>
    <s v="Chair"/>
    <x v="0"/>
    <n v="150"/>
    <x v="4"/>
    <x v="1"/>
    <n v="5628"/>
    <n v="5028"/>
  </r>
  <r>
    <x v="136"/>
    <s v="19-01-2024"/>
    <s v="C101"/>
    <s v="P201"/>
    <x v="1"/>
    <x v="1"/>
    <n v="9"/>
    <n v="1349"/>
    <s v="Laptop"/>
    <x v="1"/>
    <n v="900"/>
    <x v="2"/>
    <x v="1"/>
    <n v="12141"/>
    <n v="4041"/>
  </r>
  <r>
    <x v="137"/>
    <s v="07-05-2024"/>
    <s v="C105"/>
    <s v="P204"/>
    <x v="0"/>
    <x v="3"/>
    <n v="6"/>
    <n v="989"/>
    <s v="Desk"/>
    <x v="0"/>
    <n v="300"/>
    <x v="1"/>
    <x v="1"/>
    <n v="5934"/>
    <n v="4134"/>
  </r>
  <r>
    <x v="138"/>
    <s v="12-04-2024"/>
    <s v="C105"/>
    <s v="P204"/>
    <x v="1"/>
    <x v="2"/>
    <n v="2"/>
    <n v="1240"/>
    <s v="Desk"/>
    <x v="0"/>
    <n v="300"/>
    <x v="1"/>
    <x v="1"/>
    <n v="2480"/>
    <n v="1880"/>
  </r>
  <r>
    <x v="139"/>
    <s v="12-11-2024"/>
    <s v="C101"/>
    <s v="P205"/>
    <x v="3"/>
    <x v="0"/>
    <n v="6"/>
    <n v="831"/>
    <s v="Chair"/>
    <x v="0"/>
    <n v="150"/>
    <x v="2"/>
    <x v="1"/>
    <n v="4986"/>
    <n v="4086"/>
  </r>
  <r>
    <x v="140"/>
    <s v="03-11-2024"/>
    <s v="C104"/>
    <s v="P201"/>
    <x v="3"/>
    <x v="3"/>
    <n v="3"/>
    <n v="1215"/>
    <s v="Laptop"/>
    <x v="1"/>
    <n v="900"/>
    <x v="0"/>
    <x v="0"/>
    <n v="3645"/>
    <n v="945"/>
  </r>
  <r>
    <x v="141"/>
    <s v="08-03-2024"/>
    <s v="C102"/>
    <s v="P205"/>
    <x v="1"/>
    <x v="3"/>
    <n v="5"/>
    <n v="1568"/>
    <s v="Chair"/>
    <x v="0"/>
    <n v="150"/>
    <x v="4"/>
    <x v="1"/>
    <n v="7840"/>
    <n v="7090"/>
  </r>
  <r>
    <x v="142"/>
    <s v="06-03-2024"/>
    <s v="C102"/>
    <s v="P201"/>
    <x v="3"/>
    <x v="1"/>
    <n v="10"/>
    <n v="1289"/>
    <s v="Laptop"/>
    <x v="1"/>
    <n v="900"/>
    <x v="4"/>
    <x v="1"/>
    <n v="12890"/>
    <n v="3890"/>
  </r>
  <r>
    <x v="143"/>
    <s v="18-05-2024"/>
    <s v="C101"/>
    <s v="P202"/>
    <x v="2"/>
    <x v="3"/>
    <n v="3"/>
    <n v="891"/>
    <s v="Printer"/>
    <x v="1"/>
    <n v="1100"/>
    <x v="2"/>
    <x v="1"/>
    <n v="2673"/>
    <n v="-627"/>
  </r>
  <r>
    <x v="144"/>
    <s v="04-10-2024"/>
    <s v="C101"/>
    <s v="P201"/>
    <x v="0"/>
    <x v="3"/>
    <n v="4"/>
    <n v="1854"/>
    <s v="Laptop"/>
    <x v="1"/>
    <n v="900"/>
    <x v="2"/>
    <x v="1"/>
    <n v="7416"/>
    <n v="3816"/>
  </r>
  <r>
    <x v="145"/>
    <s v="20-06-2024"/>
    <s v="C105"/>
    <s v="P203"/>
    <x v="0"/>
    <x v="3"/>
    <n v="10"/>
    <n v="1733"/>
    <s v="Mobile"/>
    <x v="1"/>
    <n v="600"/>
    <x v="1"/>
    <x v="1"/>
    <n v="17330"/>
    <n v="11330"/>
  </r>
  <r>
    <x v="146"/>
    <s v="06-03-2024"/>
    <s v="C105"/>
    <s v="P201"/>
    <x v="3"/>
    <x v="3"/>
    <n v="4"/>
    <n v="1843"/>
    <s v="Laptop"/>
    <x v="1"/>
    <n v="900"/>
    <x v="1"/>
    <x v="1"/>
    <n v="7372"/>
    <n v="3772"/>
  </r>
  <r>
    <x v="147"/>
    <s v="22-09-2024"/>
    <s v="C101"/>
    <s v="P202"/>
    <x v="2"/>
    <x v="1"/>
    <n v="2"/>
    <n v="1730"/>
    <s v="Printer"/>
    <x v="1"/>
    <n v="1100"/>
    <x v="2"/>
    <x v="1"/>
    <n v="3460"/>
    <n v="1260"/>
  </r>
  <r>
    <x v="148"/>
    <s v="30-04-2024"/>
    <s v="C101"/>
    <s v="P205"/>
    <x v="2"/>
    <x v="3"/>
    <n v="7"/>
    <n v="1589"/>
    <s v="Chair"/>
    <x v="0"/>
    <n v="150"/>
    <x v="2"/>
    <x v="1"/>
    <n v="11123"/>
    <n v="10073"/>
  </r>
  <r>
    <x v="149"/>
    <s v="01-03-2024"/>
    <s v="C103"/>
    <s v="P204"/>
    <x v="2"/>
    <x v="0"/>
    <n v="7"/>
    <n v="1074"/>
    <s v="Desk"/>
    <x v="0"/>
    <n v="300"/>
    <x v="3"/>
    <x v="0"/>
    <n v="7518"/>
    <n v="5418"/>
  </r>
  <r>
    <x v="150"/>
    <s v="17-07-2024"/>
    <s v="C101"/>
    <s v="P205"/>
    <x v="1"/>
    <x v="0"/>
    <n v="1"/>
    <n v="1281"/>
    <s v="Chair"/>
    <x v="0"/>
    <n v="150"/>
    <x v="2"/>
    <x v="1"/>
    <n v="1281"/>
    <n v="1131"/>
  </r>
  <r>
    <x v="151"/>
    <s v="28-11-2024"/>
    <s v="C103"/>
    <s v="P205"/>
    <x v="3"/>
    <x v="2"/>
    <n v="4"/>
    <n v="1290"/>
    <s v="Chair"/>
    <x v="0"/>
    <n v="150"/>
    <x v="3"/>
    <x v="0"/>
    <n v="5160"/>
    <n v="4560"/>
  </r>
  <r>
    <x v="152"/>
    <s v="04-03-2024"/>
    <s v="C102"/>
    <s v="P205"/>
    <x v="3"/>
    <x v="3"/>
    <n v="4"/>
    <n v="1889"/>
    <s v="Chair"/>
    <x v="0"/>
    <n v="150"/>
    <x v="4"/>
    <x v="1"/>
    <n v="7556"/>
    <n v="6956"/>
  </r>
  <r>
    <x v="153"/>
    <s v="16-05-2024"/>
    <s v="C104"/>
    <s v="P201"/>
    <x v="0"/>
    <x v="3"/>
    <n v="5"/>
    <n v="1436"/>
    <s v="Laptop"/>
    <x v="1"/>
    <n v="900"/>
    <x v="0"/>
    <x v="0"/>
    <n v="7180"/>
    <n v="2680"/>
  </r>
  <r>
    <x v="154"/>
    <s v="06-12-2024"/>
    <s v="C105"/>
    <s v="P202"/>
    <x v="0"/>
    <x v="3"/>
    <n v="10"/>
    <n v="1095"/>
    <s v="Printer"/>
    <x v="1"/>
    <n v="1100"/>
    <x v="1"/>
    <x v="1"/>
    <n v="10950"/>
    <n v="-50"/>
  </r>
  <r>
    <x v="155"/>
    <s v="05-09-2024"/>
    <s v="C101"/>
    <s v="P201"/>
    <x v="1"/>
    <x v="2"/>
    <n v="2"/>
    <n v="1316"/>
    <s v="Laptop"/>
    <x v="1"/>
    <n v="900"/>
    <x v="2"/>
    <x v="1"/>
    <n v="2632"/>
    <n v="832"/>
  </r>
  <r>
    <x v="156"/>
    <s v="09-05-2024"/>
    <s v="C104"/>
    <s v="P205"/>
    <x v="3"/>
    <x v="1"/>
    <n v="8"/>
    <n v="1134"/>
    <s v="Chair"/>
    <x v="0"/>
    <n v="150"/>
    <x v="0"/>
    <x v="0"/>
    <n v="9072"/>
    <n v="7872"/>
  </r>
  <r>
    <x v="157"/>
    <s v="09-04-2024"/>
    <s v="C104"/>
    <s v="P201"/>
    <x v="1"/>
    <x v="1"/>
    <n v="9"/>
    <n v="1907"/>
    <s v="Laptop"/>
    <x v="1"/>
    <n v="900"/>
    <x v="0"/>
    <x v="0"/>
    <n v="17163"/>
    <n v="9063"/>
  </r>
  <r>
    <x v="158"/>
    <s v="31-01-2024"/>
    <s v="C104"/>
    <s v="P203"/>
    <x v="0"/>
    <x v="1"/>
    <n v="10"/>
    <n v="1697"/>
    <s v="Mobile"/>
    <x v="1"/>
    <n v="600"/>
    <x v="0"/>
    <x v="0"/>
    <n v="16970"/>
    <n v="10970"/>
  </r>
  <r>
    <x v="159"/>
    <s v="03-10-2024"/>
    <s v="C105"/>
    <s v="P204"/>
    <x v="1"/>
    <x v="2"/>
    <n v="1"/>
    <n v="954"/>
    <s v="Desk"/>
    <x v="0"/>
    <n v="300"/>
    <x v="1"/>
    <x v="1"/>
    <n v="954"/>
    <n v="654"/>
  </r>
  <r>
    <x v="160"/>
    <s v="04-09-2024"/>
    <s v="C105"/>
    <s v="P202"/>
    <x v="1"/>
    <x v="1"/>
    <n v="7"/>
    <n v="1560"/>
    <s v="Printer"/>
    <x v="1"/>
    <n v="1100"/>
    <x v="1"/>
    <x v="1"/>
    <n v="10920"/>
    <n v="3220"/>
  </r>
  <r>
    <x v="161"/>
    <s v="04-08-2024"/>
    <s v="C102"/>
    <s v="P203"/>
    <x v="0"/>
    <x v="3"/>
    <n v="3"/>
    <n v="1670"/>
    <s v="Mobile"/>
    <x v="1"/>
    <n v="600"/>
    <x v="4"/>
    <x v="1"/>
    <n v="5010"/>
    <n v="3210"/>
  </r>
  <r>
    <x v="162"/>
    <s v="27-06-2024"/>
    <s v="C102"/>
    <s v="P204"/>
    <x v="2"/>
    <x v="3"/>
    <n v="3"/>
    <n v="859"/>
    <s v="Desk"/>
    <x v="0"/>
    <n v="300"/>
    <x v="4"/>
    <x v="1"/>
    <n v="2577"/>
    <n v="1677"/>
  </r>
  <r>
    <x v="163"/>
    <s v="16-12-2024"/>
    <s v="C105"/>
    <s v="P202"/>
    <x v="2"/>
    <x v="3"/>
    <n v="2"/>
    <n v="947"/>
    <s v="Printer"/>
    <x v="1"/>
    <n v="1100"/>
    <x v="1"/>
    <x v="1"/>
    <n v="1894"/>
    <n v="-306"/>
  </r>
  <r>
    <x v="164"/>
    <s v="24-05-2024"/>
    <s v="C102"/>
    <s v="P201"/>
    <x v="0"/>
    <x v="2"/>
    <n v="7"/>
    <n v="1259"/>
    <s v="Laptop"/>
    <x v="1"/>
    <n v="900"/>
    <x v="4"/>
    <x v="1"/>
    <n v="8813"/>
    <n v="2513"/>
  </r>
  <r>
    <x v="165"/>
    <s v="24-05-2024"/>
    <s v="C104"/>
    <s v="P201"/>
    <x v="1"/>
    <x v="2"/>
    <n v="4"/>
    <n v="936"/>
    <s v="Laptop"/>
    <x v="1"/>
    <n v="900"/>
    <x v="0"/>
    <x v="0"/>
    <n v="3744"/>
    <n v="144"/>
  </r>
  <r>
    <x v="166"/>
    <s v="21-11-2024"/>
    <s v="C102"/>
    <s v="P205"/>
    <x v="3"/>
    <x v="2"/>
    <n v="9"/>
    <n v="1792"/>
    <s v="Chair"/>
    <x v="0"/>
    <n v="150"/>
    <x v="4"/>
    <x v="1"/>
    <n v="16128"/>
    <n v="14778"/>
  </r>
  <r>
    <x v="167"/>
    <s v="10-10-2024"/>
    <s v="C104"/>
    <s v="P202"/>
    <x v="1"/>
    <x v="0"/>
    <n v="1"/>
    <n v="1167"/>
    <s v="Printer"/>
    <x v="1"/>
    <n v="1100"/>
    <x v="0"/>
    <x v="0"/>
    <n v="1167"/>
    <n v="67"/>
  </r>
  <r>
    <x v="168"/>
    <s v="01-12-2024"/>
    <s v="C105"/>
    <s v="P203"/>
    <x v="1"/>
    <x v="3"/>
    <n v="1"/>
    <n v="1979"/>
    <s v="Mobile"/>
    <x v="1"/>
    <n v="600"/>
    <x v="1"/>
    <x v="1"/>
    <n v="1979"/>
    <n v="1379"/>
  </r>
  <r>
    <x v="169"/>
    <s v="22-01-2024"/>
    <s v="C103"/>
    <s v="P203"/>
    <x v="2"/>
    <x v="3"/>
    <n v="9"/>
    <n v="1445"/>
    <s v="Mobile"/>
    <x v="1"/>
    <n v="600"/>
    <x v="3"/>
    <x v="0"/>
    <n v="13005"/>
    <n v="7605"/>
  </r>
  <r>
    <x v="170"/>
    <s v="21-04-2024"/>
    <s v="C105"/>
    <s v="P205"/>
    <x v="3"/>
    <x v="1"/>
    <n v="1"/>
    <n v="1363"/>
    <s v="Chair"/>
    <x v="0"/>
    <n v="150"/>
    <x v="1"/>
    <x v="1"/>
    <n v="1363"/>
    <n v="1213"/>
  </r>
  <r>
    <x v="171"/>
    <s v="28-06-2024"/>
    <s v="C105"/>
    <s v="P202"/>
    <x v="0"/>
    <x v="3"/>
    <n v="2"/>
    <n v="913"/>
    <s v="Printer"/>
    <x v="1"/>
    <n v="1100"/>
    <x v="1"/>
    <x v="1"/>
    <n v="1826"/>
    <n v="-374"/>
  </r>
  <r>
    <x v="172"/>
    <s v="27-01-2024"/>
    <s v="C104"/>
    <s v="P204"/>
    <x v="2"/>
    <x v="1"/>
    <n v="10"/>
    <n v="1637"/>
    <s v="Desk"/>
    <x v="0"/>
    <n v="300"/>
    <x v="0"/>
    <x v="0"/>
    <n v="16370"/>
    <n v="13370"/>
  </r>
  <r>
    <x v="173"/>
    <s v="24-04-2024"/>
    <s v="C101"/>
    <s v="P202"/>
    <x v="1"/>
    <x v="3"/>
    <n v="4"/>
    <n v="1580"/>
    <s v="Printer"/>
    <x v="1"/>
    <n v="1100"/>
    <x v="2"/>
    <x v="1"/>
    <n v="6320"/>
    <n v="1920"/>
  </r>
  <r>
    <x v="174"/>
    <s v="05-06-2024"/>
    <s v="C105"/>
    <s v="P201"/>
    <x v="0"/>
    <x v="3"/>
    <n v="1"/>
    <n v="1582"/>
    <s v="Laptop"/>
    <x v="1"/>
    <n v="900"/>
    <x v="1"/>
    <x v="1"/>
    <n v="1582"/>
    <n v="682"/>
  </r>
  <r>
    <x v="175"/>
    <s v="23-03-2024"/>
    <s v="C102"/>
    <s v="P205"/>
    <x v="1"/>
    <x v="3"/>
    <n v="4"/>
    <n v="1010"/>
    <s v="Chair"/>
    <x v="0"/>
    <n v="150"/>
    <x v="4"/>
    <x v="1"/>
    <n v="4040"/>
    <n v="3440"/>
  </r>
  <r>
    <x v="176"/>
    <s v="10-03-2024"/>
    <s v="C104"/>
    <s v="P205"/>
    <x v="3"/>
    <x v="0"/>
    <n v="3"/>
    <n v="1983"/>
    <s v="Chair"/>
    <x v="0"/>
    <n v="150"/>
    <x v="0"/>
    <x v="0"/>
    <n v="5949"/>
    <n v="5499"/>
  </r>
  <r>
    <x v="177"/>
    <s v="31-07-2024"/>
    <s v="C103"/>
    <s v="P201"/>
    <x v="0"/>
    <x v="1"/>
    <n v="8"/>
    <n v="975"/>
    <s v="Laptop"/>
    <x v="1"/>
    <n v="900"/>
    <x v="3"/>
    <x v="0"/>
    <n v="7800"/>
    <n v="600"/>
  </r>
  <r>
    <x v="178"/>
    <s v="25-03-2024"/>
    <s v="C103"/>
    <s v="P204"/>
    <x v="1"/>
    <x v="2"/>
    <n v="10"/>
    <n v="1227"/>
    <s v="Desk"/>
    <x v="0"/>
    <n v="300"/>
    <x v="3"/>
    <x v="0"/>
    <n v="12270"/>
    <n v="9270"/>
  </r>
  <r>
    <x v="179"/>
    <s v="06-07-2024"/>
    <s v="C101"/>
    <s v="P204"/>
    <x v="3"/>
    <x v="0"/>
    <n v="1"/>
    <n v="1730"/>
    <s v="Desk"/>
    <x v="0"/>
    <n v="300"/>
    <x v="2"/>
    <x v="1"/>
    <n v="1730"/>
    <n v="1430"/>
  </r>
  <r>
    <x v="180"/>
    <s v="26-12-2024"/>
    <s v="C101"/>
    <s v="P202"/>
    <x v="0"/>
    <x v="2"/>
    <n v="3"/>
    <n v="1572"/>
    <s v="Printer"/>
    <x v="1"/>
    <n v="1100"/>
    <x v="2"/>
    <x v="1"/>
    <n v="4716"/>
    <n v="1416"/>
  </r>
  <r>
    <x v="181"/>
    <s v="06-01-2024"/>
    <s v="C101"/>
    <s v="P203"/>
    <x v="3"/>
    <x v="2"/>
    <n v="7"/>
    <n v="1560"/>
    <s v="Mobile"/>
    <x v="1"/>
    <n v="600"/>
    <x v="2"/>
    <x v="1"/>
    <n v="10920"/>
    <n v="6720"/>
  </r>
  <r>
    <x v="182"/>
    <s v="13-12-2024"/>
    <s v="C105"/>
    <s v="P201"/>
    <x v="1"/>
    <x v="0"/>
    <n v="2"/>
    <n v="1484"/>
    <s v="Laptop"/>
    <x v="1"/>
    <n v="900"/>
    <x v="1"/>
    <x v="1"/>
    <n v="2968"/>
    <n v="1168"/>
  </r>
  <r>
    <x v="183"/>
    <s v="31-12-2024"/>
    <s v="C105"/>
    <s v="P202"/>
    <x v="1"/>
    <x v="0"/>
    <n v="7"/>
    <n v="1674"/>
    <s v="Printer"/>
    <x v="1"/>
    <n v="1100"/>
    <x v="1"/>
    <x v="1"/>
    <n v="11718"/>
    <n v="4018"/>
  </r>
  <r>
    <x v="184"/>
    <s v="03-08-2024"/>
    <s v="C105"/>
    <s v="P202"/>
    <x v="0"/>
    <x v="1"/>
    <n v="3"/>
    <n v="1864"/>
    <s v="Printer"/>
    <x v="1"/>
    <n v="1100"/>
    <x v="1"/>
    <x v="1"/>
    <n v="5592"/>
    <n v="2292"/>
  </r>
  <r>
    <x v="185"/>
    <s v="24-10-2024"/>
    <s v="C103"/>
    <s v="P204"/>
    <x v="1"/>
    <x v="1"/>
    <n v="9"/>
    <n v="1431"/>
    <s v="Desk"/>
    <x v="0"/>
    <n v="300"/>
    <x v="3"/>
    <x v="0"/>
    <n v="12879"/>
    <n v="10179"/>
  </r>
  <r>
    <x v="186"/>
    <s v="06-08-2024"/>
    <s v="C102"/>
    <s v="P203"/>
    <x v="3"/>
    <x v="3"/>
    <n v="4"/>
    <n v="1216"/>
    <s v="Mobile"/>
    <x v="1"/>
    <n v="600"/>
    <x v="4"/>
    <x v="1"/>
    <n v="4864"/>
    <n v="2464"/>
  </r>
  <r>
    <x v="187"/>
    <s v="07-03-2024"/>
    <s v="C102"/>
    <s v="P204"/>
    <x v="3"/>
    <x v="2"/>
    <n v="2"/>
    <n v="1423"/>
    <s v="Desk"/>
    <x v="0"/>
    <n v="300"/>
    <x v="4"/>
    <x v="1"/>
    <n v="2846"/>
    <n v="2246"/>
  </r>
  <r>
    <x v="188"/>
    <s v="29-10-2024"/>
    <s v="C101"/>
    <s v="P203"/>
    <x v="3"/>
    <x v="2"/>
    <n v="7"/>
    <n v="1239"/>
    <s v="Mobile"/>
    <x v="1"/>
    <n v="600"/>
    <x v="2"/>
    <x v="1"/>
    <n v="8673"/>
    <n v="4473"/>
  </r>
  <r>
    <x v="189"/>
    <s v="14-01-2024"/>
    <s v="C101"/>
    <s v="P204"/>
    <x v="1"/>
    <x v="2"/>
    <n v="3"/>
    <n v="1057"/>
    <s v="Desk"/>
    <x v="0"/>
    <n v="300"/>
    <x v="2"/>
    <x v="1"/>
    <n v="3171"/>
    <n v="2271"/>
  </r>
  <r>
    <x v="190"/>
    <s v="03-03-2024"/>
    <s v="C104"/>
    <s v="P203"/>
    <x v="0"/>
    <x v="2"/>
    <n v="9"/>
    <n v="1967"/>
    <s v="Mobile"/>
    <x v="1"/>
    <n v="600"/>
    <x v="0"/>
    <x v="0"/>
    <n v="17703"/>
    <n v="12303"/>
  </r>
  <r>
    <x v="191"/>
    <s v="31-12-2024"/>
    <s v="C103"/>
    <s v="P205"/>
    <x v="0"/>
    <x v="3"/>
    <n v="7"/>
    <n v="1477"/>
    <s v="Chair"/>
    <x v="0"/>
    <n v="150"/>
    <x v="3"/>
    <x v="0"/>
    <n v="10339"/>
    <n v="9289"/>
  </r>
  <r>
    <x v="192"/>
    <s v="15-11-2024"/>
    <s v="C105"/>
    <s v="P205"/>
    <x v="3"/>
    <x v="2"/>
    <n v="5"/>
    <n v="1990"/>
    <s v="Chair"/>
    <x v="0"/>
    <n v="150"/>
    <x v="1"/>
    <x v="1"/>
    <n v="9950"/>
    <n v="9200"/>
  </r>
  <r>
    <x v="193"/>
    <s v="05-05-2024"/>
    <s v="C104"/>
    <s v="P201"/>
    <x v="1"/>
    <x v="2"/>
    <n v="2"/>
    <n v="961"/>
    <s v="Laptop"/>
    <x v="1"/>
    <n v="900"/>
    <x v="0"/>
    <x v="0"/>
    <n v="1922"/>
    <n v="122"/>
  </r>
  <r>
    <x v="194"/>
    <s v="20-02-2024"/>
    <s v="C102"/>
    <s v="P205"/>
    <x v="0"/>
    <x v="0"/>
    <n v="9"/>
    <n v="1617"/>
    <s v="Chair"/>
    <x v="0"/>
    <n v="150"/>
    <x v="4"/>
    <x v="1"/>
    <n v="14553"/>
    <n v="13203"/>
  </r>
  <r>
    <x v="195"/>
    <s v="23-01-2024"/>
    <s v="C104"/>
    <s v="P203"/>
    <x v="1"/>
    <x v="2"/>
    <n v="8"/>
    <n v="1831"/>
    <s v="Mobile"/>
    <x v="1"/>
    <n v="600"/>
    <x v="0"/>
    <x v="0"/>
    <n v="14648"/>
    <n v="9848"/>
  </r>
  <r>
    <x v="196"/>
    <s v="27-02-2024"/>
    <s v="C104"/>
    <s v="P203"/>
    <x v="3"/>
    <x v="3"/>
    <n v="9"/>
    <n v="1367"/>
    <s v="Mobile"/>
    <x v="1"/>
    <n v="600"/>
    <x v="0"/>
    <x v="0"/>
    <n v="12303"/>
    <n v="6903"/>
  </r>
  <r>
    <x v="197"/>
    <s v="03-01-2024"/>
    <s v="C105"/>
    <s v="P204"/>
    <x v="0"/>
    <x v="0"/>
    <n v="6"/>
    <n v="1090"/>
    <s v="Desk"/>
    <x v="0"/>
    <n v="300"/>
    <x v="1"/>
    <x v="1"/>
    <n v="6540"/>
    <n v="4740"/>
  </r>
  <r>
    <x v="198"/>
    <s v="15-02-2024"/>
    <s v="C103"/>
    <s v="P205"/>
    <x v="0"/>
    <x v="1"/>
    <n v="2"/>
    <n v="1251"/>
    <s v="Chair"/>
    <x v="0"/>
    <n v="150"/>
    <x v="3"/>
    <x v="0"/>
    <n v="2502"/>
    <n v="2202"/>
  </r>
  <r>
    <x v="199"/>
    <s v="03-08-2024"/>
    <s v="C105"/>
    <s v="P203"/>
    <x v="1"/>
    <x v="2"/>
    <n v="7"/>
    <n v="1034"/>
    <s v="Mobile"/>
    <x v="1"/>
    <n v="600"/>
    <x v="1"/>
    <x v="1"/>
    <n v="7238"/>
    <n v="3038"/>
  </r>
  <r>
    <x v="200"/>
    <s v="28-05-2024"/>
    <s v="C102"/>
    <s v="P205"/>
    <x v="2"/>
    <x v="3"/>
    <n v="4"/>
    <n v="1542"/>
    <s v="Chair"/>
    <x v="0"/>
    <n v="150"/>
    <x v="4"/>
    <x v="1"/>
    <n v="6168"/>
    <n v="5568"/>
  </r>
  <r>
    <x v="201"/>
    <s v="24-06-2024"/>
    <s v="C104"/>
    <s v="P201"/>
    <x v="1"/>
    <x v="3"/>
    <n v="8"/>
    <n v="1847"/>
    <s v="Laptop"/>
    <x v="1"/>
    <n v="900"/>
    <x v="0"/>
    <x v="0"/>
    <n v="14776"/>
    <n v="7576"/>
  </r>
  <r>
    <x v="202"/>
    <s v="17-04-2024"/>
    <s v="C105"/>
    <s v="P203"/>
    <x v="3"/>
    <x v="2"/>
    <n v="7"/>
    <n v="1380"/>
    <s v="Mobile"/>
    <x v="1"/>
    <n v="600"/>
    <x v="1"/>
    <x v="1"/>
    <n v="9660"/>
    <n v="5460"/>
  </r>
  <r>
    <x v="203"/>
    <s v="15-01-2024"/>
    <s v="C104"/>
    <s v="P204"/>
    <x v="3"/>
    <x v="2"/>
    <n v="2"/>
    <n v="1285"/>
    <s v="Desk"/>
    <x v="0"/>
    <n v="300"/>
    <x v="0"/>
    <x v="0"/>
    <n v="2570"/>
    <n v="1970"/>
  </r>
  <r>
    <x v="204"/>
    <s v="20-01-2024"/>
    <s v="C104"/>
    <s v="P203"/>
    <x v="2"/>
    <x v="2"/>
    <n v="7"/>
    <n v="825"/>
    <s v="Mobile"/>
    <x v="1"/>
    <n v="600"/>
    <x v="0"/>
    <x v="0"/>
    <n v="5775"/>
    <n v="1575"/>
  </r>
  <r>
    <x v="205"/>
    <s v="25-04-2024"/>
    <s v="C105"/>
    <s v="P203"/>
    <x v="2"/>
    <x v="1"/>
    <n v="2"/>
    <n v="1431"/>
    <s v="Mobile"/>
    <x v="1"/>
    <n v="600"/>
    <x v="1"/>
    <x v="1"/>
    <n v="2862"/>
    <n v="1662"/>
  </r>
  <r>
    <x v="206"/>
    <s v="07-06-2024"/>
    <s v="C104"/>
    <s v="P204"/>
    <x v="1"/>
    <x v="3"/>
    <n v="3"/>
    <n v="1256"/>
    <s v="Desk"/>
    <x v="0"/>
    <n v="300"/>
    <x v="0"/>
    <x v="0"/>
    <n v="3768"/>
    <n v="2868"/>
  </r>
  <r>
    <x v="207"/>
    <s v="21-09-2024"/>
    <s v="C102"/>
    <s v="P202"/>
    <x v="3"/>
    <x v="0"/>
    <n v="8"/>
    <n v="1141"/>
    <s v="Printer"/>
    <x v="1"/>
    <n v="1100"/>
    <x v="4"/>
    <x v="1"/>
    <n v="9128"/>
    <n v="328"/>
  </r>
  <r>
    <x v="208"/>
    <s v="23-07-2024"/>
    <s v="C102"/>
    <s v="P205"/>
    <x v="3"/>
    <x v="3"/>
    <n v="1"/>
    <n v="1166"/>
    <s v="Chair"/>
    <x v="0"/>
    <n v="150"/>
    <x v="4"/>
    <x v="1"/>
    <n v="1166"/>
    <n v="1016"/>
  </r>
  <r>
    <x v="209"/>
    <s v="26-07-2024"/>
    <s v="C105"/>
    <s v="P201"/>
    <x v="0"/>
    <x v="3"/>
    <n v="3"/>
    <n v="1892"/>
    <s v="Laptop"/>
    <x v="1"/>
    <n v="900"/>
    <x v="1"/>
    <x v="1"/>
    <n v="5676"/>
    <n v="2976"/>
  </r>
  <r>
    <x v="210"/>
    <s v="16-03-2024"/>
    <s v="C105"/>
    <s v="P204"/>
    <x v="3"/>
    <x v="2"/>
    <n v="5"/>
    <n v="855"/>
    <s v="Desk"/>
    <x v="0"/>
    <n v="300"/>
    <x v="1"/>
    <x v="1"/>
    <n v="4275"/>
    <n v="2775"/>
  </r>
  <r>
    <x v="211"/>
    <s v="11-01-2024"/>
    <s v="C104"/>
    <s v="P201"/>
    <x v="3"/>
    <x v="0"/>
    <n v="5"/>
    <n v="825"/>
    <s v="Laptop"/>
    <x v="1"/>
    <n v="900"/>
    <x v="0"/>
    <x v="0"/>
    <n v="4125"/>
    <n v="-375"/>
  </r>
  <r>
    <x v="212"/>
    <s v="01-04-2024"/>
    <s v="C104"/>
    <s v="P202"/>
    <x v="2"/>
    <x v="2"/>
    <n v="1"/>
    <n v="1045"/>
    <s v="Printer"/>
    <x v="1"/>
    <n v="1100"/>
    <x v="0"/>
    <x v="0"/>
    <n v="1045"/>
    <n v="-55"/>
  </r>
  <r>
    <x v="213"/>
    <s v="28-02-2024"/>
    <s v="C101"/>
    <s v="P201"/>
    <x v="3"/>
    <x v="1"/>
    <n v="4"/>
    <n v="1447"/>
    <s v="Laptop"/>
    <x v="1"/>
    <n v="900"/>
    <x v="2"/>
    <x v="1"/>
    <n v="5788"/>
    <n v="2188"/>
  </r>
  <r>
    <x v="214"/>
    <s v="02-10-2024"/>
    <s v="C105"/>
    <s v="P202"/>
    <x v="0"/>
    <x v="0"/>
    <n v="6"/>
    <n v="1448"/>
    <s v="Printer"/>
    <x v="1"/>
    <n v="1100"/>
    <x v="1"/>
    <x v="1"/>
    <n v="8688"/>
    <n v="2088"/>
  </r>
  <r>
    <x v="215"/>
    <s v="18-08-2024"/>
    <s v="C101"/>
    <s v="P201"/>
    <x v="3"/>
    <x v="0"/>
    <n v="1"/>
    <n v="860"/>
    <s v="Laptop"/>
    <x v="1"/>
    <n v="900"/>
    <x v="2"/>
    <x v="1"/>
    <n v="860"/>
    <n v="-40"/>
  </r>
  <r>
    <x v="216"/>
    <s v="22-05-2024"/>
    <s v="C101"/>
    <s v="P201"/>
    <x v="3"/>
    <x v="2"/>
    <n v="10"/>
    <n v="837"/>
    <s v="Laptop"/>
    <x v="1"/>
    <n v="900"/>
    <x v="2"/>
    <x v="1"/>
    <n v="8370"/>
    <n v="-630"/>
  </r>
  <r>
    <x v="217"/>
    <s v="03-07-2024"/>
    <s v="C103"/>
    <s v="P204"/>
    <x v="2"/>
    <x v="3"/>
    <n v="3"/>
    <n v="1227"/>
    <s v="Desk"/>
    <x v="0"/>
    <n v="300"/>
    <x v="3"/>
    <x v="0"/>
    <n v="3681"/>
    <n v="2781"/>
  </r>
  <r>
    <x v="218"/>
    <s v="19-11-2024"/>
    <s v="C102"/>
    <s v="P205"/>
    <x v="2"/>
    <x v="3"/>
    <n v="5"/>
    <n v="1266"/>
    <s v="Chair"/>
    <x v="0"/>
    <n v="150"/>
    <x v="4"/>
    <x v="1"/>
    <n v="6330"/>
    <n v="5580"/>
  </r>
  <r>
    <x v="219"/>
    <s v="23-09-2024"/>
    <s v="C105"/>
    <s v="P205"/>
    <x v="0"/>
    <x v="2"/>
    <n v="6"/>
    <n v="814"/>
    <s v="Chair"/>
    <x v="0"/>
    <n v="150"/>
    <x v="1"/>
    <x v="1"/>
    <n v="4884"/>
    <n v="3984"/>
  </r>
  <r>
    <x v="220"/>
    <s v="18-03-2024"/>
    <s v="C101"/>
    <s v="P204"/>
    <x v="2"/>
    <x v="1"/>
    <n v="2"/>
    <n v="1988"/>
    <s v="Desk"/>
    <x v="0"/>
    <n v="300"/>
    <x v="2"/>
    <x v="1"/>
    <n v="3976"/>
    <n v="3376"/>
  </r>
  <r>
    <x v="221"/>
    <s v="21-05-2024"/>
    <s v="C102"/>
    <s v="P201"/>
    <x v="1"/>
    <x v="2"/>
    <n v="9"/>
    <n v="1676"/>
    <s v="Laptop"/>
    <x v="1"/>
    <n v="900"/>
    <x v="4"/>
    <x v="1"/>
    <n v="15084"/>
    <n v="6984"/>
  </r>
  <r>
    <x v="222"/>
    <s v="16-05-2024"/>
    <s v="C104"/>
    <s v="P205"/>
    <x v="0"/>
    <x v="2"/>
    <n v="4"/>
    <n v="1565"/>
    <s v="Chair"/>
    <x v="0"/>
    <n v="150"/>
    <x v="0"/>
    <x v="0"/>
    <n v="6260"/>
    <n v="5660"/>
  </r>
  <r>
    <x v="223"/>
    <s v="15-06-2024"/>
    <s v="C102"/>
    <s v="P203"/>
    <x v="3"/>
    <x v="1"/>
    <n v="7"/>
    <n v="1807"/>
    <s v="Mobile"/>
    <x v="1"/>
    <n v="600"/>
    <x v="4"/>
    <x v="1"/>
    <n v="12649"/>
    <n v="8449"/>
  </r>
  <r>
    <x v="224"/>
    <s v="29-07-2024"/>
    <s v="C104"/>
    <s v="P202"/>
    <x v="1"/>
    <x v="1"/>
    <n v="4"/>
    <n v="837"/>
    <s v="Printer"/>
    <x v="1"/>
    <n v="1100"/>
    <x v="0"/>
    <x v="0"/>
    <n v="3348"/>
    <n v="-1052"/>
  </r>
  <r>
    <x v="225"/>
    <s v="09-01-2024"/>
    <s v="C104"/>
    <s v="P203"/>
    <x v="1"/>
    <x v="3"/>
    <n v="9"/>
    <n v="1675"/>
    <s v="Mobile"/>
    <x v="1"/>
    <n v="600"/>
    <x v="0"/>
    <x v="0"/>
    <n v="15075"/>
    <n v="9675"/>
  </r>
  <r>
    <x v="226"/>
    <s v="30-04-2024"/>
    <s v="C103"/>
    <s v="P201"/>
    <x v="1"/>
    <x v="0"/>
    <n v="7"/>
    <n v="1270"/>
    <s v="Laptop"/>
    <x v="1"/>
    <n v="900"/>
    <x v="3"/>
    <x v="0"/>
    <n v="8890"/>
    <n v="2590"/>
  </r>
  <r>
    <x v="227"/>
    <s v="14-07-2024"/>
    <s v="C102"/>
    <s v="P204"/>
    <x v="1"/>
    <x v="3"/>
    <n v="4"/>
    <n v="1234"/>
    <s v="Desk"/>
    <x v="0"/>
    <n v="300"/>
    <x v="4"/>
    <x v="1"/>
    <n v="4936"/>
    <n v="3736"/>
  </r>
  <r>
    <x v="228"/>
    <s v="28-02-2024"/>
    <s v="C101"/>
    <s v="P204"/>
    <x v="0"/>
    <x v="2"/>
    <n v="1"/>
    <n v="1205"/>
    <s v="Desk"/>
    <x v="0"/>
    <n v="300"/>
    <x v="2"/>
    <x v="1"/>
    <n v="1205"/>
    <n v="905"/>
  </r>
  <r>
    <x v="229"/>
    <s v="06-01-2024"/>
    <s v="C104"/>
    <s v="P202"/>
    <x v="3"/>
    <x v="2"/>
    <n v="7"/>
    <n v="1914"/>
    <s v="Printer"/>
    <x v="1"/>
    <n v="1100"/>
    <x v="0"/>
    <x v="0"/>
    <n v="13398"/>
    <n v="5698"/>
  </r>
  <r>
    <x v="230"/>
    <s v="16-11-2024"/>
    <s v="C105"/>
    <s v="P201"/>
    <x v="3"/>
    <x v="2"/>
    <n v="7"/>
    <n v="1020"/>
    <s v="Laptop"/>
    <x v="1"/>
    <n v="900"/>
    <x v="1"/>
    <x v="1"/>
    <n v="7140"/>
    <n v="840"/>
  </r>
  <r>
    <x v="231"/>
    <s v="27-06-2024"/>
    <s v="C105"/>
    <s v="P201"/>
    <x v="2"/>
    <x v="3"/>
    <n v="4"/>
    <n v="1685"/>
    <s v="Laptop"/>
    <x v="1"/>
    <n v="900"/>
    <x v="1"/>
    <x v="1"/>
    <n v="6740"/>
    <n v="3140"/>
  </r>
  <r>
    <x v="232"/>
    <s v="15-06-2024"/>
    <s v="C103"/>
    <s v="P202"/>
    <x v="2"/>
    <x v="2"/>
    <n v="4"/>
    <n v="1354"/>
    <s v="Printer"/>
    <x v="1"/>
    <n v="1100"/>
    <x v="3"/>
    <x v="0"/>
    <n v="5416"/>
    <n v="1016"/>
  </r>
  <r>
    <x v="233"/>
    <s v="03-08-2024"/>
    <s v="C105"/>
    <s v="P202"/>
    <x v="2"/>
    <x v="0"/>
    <n v="10"/>
    <n v="1242"/>
    <s v="Printer"/>
    <x v="1"/>
    <n v="1100"/>
    <x v="1"/>
    <x v="1"/>
    <n v="12420"/>
    <n v="1420"/>
  </r>
  <r>
    <x v="234"/>
    <s v="23-12-2024"/>
    <s v="C105"/>
    <s v="P201"/>
    <x v="2"/>
    <x v="3"/>
    <n v="1"/>
    <n v="1947"/>
    <s v="Laptop"/>
    <x v="1"/>
    <n v="900"/>
    <x v="1"/>
    <x v="1"/>
    <n v="1947"/>
    <n v="1047"/>
  </r>
  <r>
    <x v="235"/>
    <s v="09-11-2024"/>
    <s v="C102"/>
    <s v="P202"/>
    <x v="0"/>
    <x v="1"/>
    <n v="9"/>
    <n v="1060"/>
    <s v="Printer"/>
    <x v="1"/>
    <n v="1100"/>
    <x v="4"/>
    <x v="1"/>
    <n v="9540"/>
    <n v="-360"/>
  </r>
  <r>
    <x v="236"/>
    <s v="06-07-2024"/>
    <s v="C104"/>
    <s v="P202"/>
    <x v="0"/>
    <x v="3"/>
    <n v="3"/>
    <n v="1253"/>
    <s v="Printer"/>
    <x v="1"/>
    <n v="1100"/>
    <x v="0"/>
    <x v="0"/>
    <n v="3759"/>
    <n v="459"/>
  </r>
  <r>
    <x v="237"/>
    <s v="29-07-2024"/>
    <s v="C102"/>
    <s v="P205"/>
    <x v="0"/>
    <x v="1"/>
    <n v="10"/>
    <n v="1442"/>
    <s v="Chair"/>
    <x v="0"/>
    <n v="150"/>
    <x v="4"/>
    <x v="1"/>
    <n v="14420"/>
    <n v="12920"/>
  </r>
  <r>
    <x v="238"/>
    <s v="09-06-2024"/>
    <s v="C104"/>
    <s v="P201"/>
    <x v="3"/>
    <x v="2"/>
    <n v="3"/>
    <n v="1544"/>
    <s v="Laptop"/>
    <x v="1"/>
    <n v="900"/>
    <x v="0"/>
    <x v="0"/>
    <n v="4632"/>
    <n v="1932"/>
  </r>
  <r>
    <x v="239"/>
    <s v="10-06-2024"/>
    <s v="C104"/>
    <s v="P203"/>
    <x v="2"/>
    <x v="2"/>
    <n v="1"/>
    <n v="1237"/>
    <s v="Mobile"/>
    <x v="1"/>
    <n v="600"/>
    <x v="0"/>
    <x v="0"/>
    <n v="1237"/>
    <n v="637"/>
  </r>
  <r>
    <x v="240"/>
    <s v="14-10-2024"/>
    <s v="C103"/>
    <s v="P202"/>
    <x v="0"/>
    <x v="0"/>
    <n v="7"/>
    <n v="1027"/>
    <s v="Printer"/>
    <x v="1"/>
    <n v="1100"/>
    <x v="3"/>
    <x v="0"/>
    <n v="7189"/>
    <n v="-511"/>
  </r>
  <r>
    <x v="241"/>
    <s v="25-12-2024"/>
    <s v="C104"/>
    <s v="P204"/>
    <x v="2"/>
    <x v="0"/>
    <n v="1"/>
    <n v="1731"/>
    <s v="Desk"/>
    <x v="0"/>
    <n v="300"/>
    <x v="0"/>
    <x v="0"/>
    <n v="1731"/>
    <n v="1431"/>
  </r>
  <r>
    <x v="242"/>
    <s v="07-03-2024"/>
    <s v="C102"/>
    <s v="P202"/>
    <x v="0"/>
    <x v="0"/>
    <n v="4"/>
    <n v="1426"/>
    <s v="Printer"/>
    <x v="1"/>
    <n v="1100"/>
    <x v="4"/>
    <x v="1"/>
    <n v="5704"/>
    <n v="1304"/>
  </r>
  <r>
    <x v="243"/>
    <s v="27-12-2024"/>
    <s v="C103"/>
    <s v="P205"/>
    <x v="0"/>
    <x v="0"/>
    <n v="4"/>
    <n v="1383"/>
    <s v="Chair"/>
    <x v="0"/>
    <n v="150"/>
    <x v="3"/>
    <x v="0"/>
    <n v="5532"/>
    <n v="4932"/>
  </r>
  <r>
    <x v="244"/>
    <s v="10-11-2024"/>
    <s v="C103"/>
    <s v="P204"/>
    <x v="3"/>
    <x v="2"/>
    <n v="10"/>
    <n v="1374"/>
    <s v="Desk"/>
    <x v="0"/>
    <n v="300"/>
    <x v="3"/>
    <x v="0"/>
    <n v="13740"/>
    <n v="10740"/>
  </r>
  <r>
    <x v="245"/>
    <s v="06-09-2024"/>
    <s v="C102"/>
    <s v="P205"/>
    <x v="2"/>
    <x v="0"/>
    <n v="8"/>
    <n v="1204"/>
    <s v="Chair"/>
    <x v="0"/>
    <n v="150"/>
    <x v="4"/>
    <x v="1"/>
    <n v="9632"/>
    <n v="8432"/>
  </r>
  <r>
    <x v="246"/>
    <s v="23-12-2024"/>
    <s v="C101"/>
    <s v="P201"/>
    <x v="3"/>
    <x v="1"/>
    <n v="4"/>
    <n v="1516"/>
    <s v="Laptop"/>
    <x v="1"/>
    <n v="900"/>
    <x v="2"/>
    <x v="1"/>
    <n v="6064"/>
    <n v="2464"/>
  </r>
  <r>
    <x v="247"/>
    <s v="05-02-2024"/>
    <s v="C103"/>
    <s v="P203"/>
    <x v="3"/>
    <x v="2"/>
    <n v="8"/>
    <n v="1599"/>
    <s v="Mobile"/>
    <x v="1"/>
    <n v="600"/>
    <x v="3"/>
    <x v="0"/>
    <n v="12792"/>
    <n v="7992"/>
  </r>
  <r>
    <x v="248"/>
    <s v="26-01-2024"/>
    <s v="C103"/>
    <s v="P204"/>
    <x v="3"/>
    <x v="0"/>
    <n v="9"/>
    <n v="1967"/>
    <s v="Desk"/>
    <x v="0"/>
    <n v="300"/>
    <x v="3"/>
    <x v="0"/>
    <n v="17703"/>
    <n v="15003"/>
  </r>
  <r>
    <x v="249"/>
    <s v="24-09-2024"/>
    <s v="C102"/>
    <s v="P201"/>
    <x v="0"/>
    <x v="2"/>
    <n v="10"/>
    <n v="1027"/>
    <s v="Laptop"/>
    <x v="1"/>
    <n v="900"/>
    <x v="4"/>
    <x v="1"/>
    <n v="10270"/>
    <n v="1270"/>
  </r>
  <r>
    <x v="250"/>
    <s v="02-03-2024"/>
    <s v="C104"/>
    <s v="P201"/>
    <x v="0"/>
    <x v="1"/>
    <n v="8"/>
    <n v="947"/>
    <s v="Laptop"/>
    <x v="1"/>
    <n v="900"/>
    <x v="0"/>
    <x v="0"/>
    <n v="7576"/>
    <n v="376"/>
  </r>
  <r>
    <x v="251"/>
    <s v="02-11-2024"/>
    <s v="C101"/>
    <s v="P202"/>
    <x v="0"/>
    <x v="2"/>
    <n v="9"/>
    <n v="1971"/>
    <s v="Printer"/>
    <x v="1"/>
    <n v="1100"/>
    <x v="2"/>
    <x v="1"/>
    <n v="17739"/>
    <n v="7839"/>
  </r>
  <r>
    <x v="252"/>
    <s v="10-05-2024"/>
    <s v="C101"/>
    <s v="P201"/>
    <x v="2"/>
    <x v="3"/>
    <n v="8"/>
    <n v="1608"/>
    <s v="Laptop"/>
    <x v="1"/>
    <n v="900"/>
    <x v="2"/>
    <x v="1"/>
    <n v="12864"/>
    <n v="5664"/>
  </r>
  <r>
    <x v="253"/>
    <s v="14-05-2024"/>
    <s v="C103"/>
    <s v="P202"/>
    <x v="0"/>
    <x v="2"/>
    <n v="2"/>
    <n v="1655"/>
    <s v="Printer"/>
    <x v="1"/>
    <n v="1100"/>
    <x v="3"/>
    <x v="0"/>
    <n v="3310"/>
    <n v="1110"/>
  </r>
  <r>
    <x v="254"/>
    <s v="13-04-2024"/>
    <s v="C103"/>
    <s v="P204"/>
    <x v="0"/>
    <x v="0"/>
    <n v="4"/>
    <n v="1237"/>
    <s v="Desk"/>
    <x v="0"/>
    <n v="300"/>
    <x v="3"/>
    <x v="0"/>
    <n v="4948"/>
    <n v="3748"/>
  </r>
  <r>
    <x v="255"/>
    <s v="05-07-2024"/>
    <s v="C105"/>
    <s v="P204"/>
    <x v="1"/>
    <x v="0"/>
    <n v="10"/>
    <n v="858"/>
    <s v="Desk"/>
    <x v="0"/>
    <n v="300"/>
    <x v="1"/>
    <x v="1"/>
    <n v="8580"/>
    <n v="5580"/>
  </r>
  <r>
    <x v="256"/>
    <s v="28-04-2024"/>
    <s v="C105"/>
    <s v="P201"/>
    <x v="0"/>
    <x v="1"/>
    <n v="10"/>
    <n v="1823"/>
    <s v="Laptop"/>
    <x v="1"/>
    <n v="900"/>
    <x v="1"/>
    <x v="1"/>
    <n v="18230"/>
    <n v="9230"/>
  </r>
  <r>
    <x v="257"/>
    <s v="08-02-2024"/>
    <s v="C101"/>
    <s v="P204"/>
    <x v="2"/>
    <x v="1"/>
    <n v="4"/>
    <n v="1174"/>
    <s v="Desk"/>
    <x v="0"/>
    <n v="300"/>
    <x v="2"/>
    <x v="1"/>
    <n v="4696"/>
    <n v="3496"/>
  </r>
  <r>
    <x v="258"/>
    <s v="24-02-2024"/>
    <s v="C103"/>
    <s v="P205"/>
    <x v="3"/>
    <x v="0"/>
    <n v="7"/>
    <n v="1569"/>
    <s v="Chair"/>
    <x v="0"/>
    <n v="150"/>
    <x v="3"/>
    <x v="0"/>
    <n v="10983"/>
    <n v="9933"/>
  </r>
  <r>
    <x v="259"/>
    <s v="25-07-2024"/>
    <s v="C101"/>
    <s v="P201"/>
    <x v="3"/>
    <x v="1"/>
    <n v="4"/>
    <n v="1845"/>
    <s v="Laptop"/>
    <x v="1"/>
    <n v="900"/>
    <x v="2"/>
    <x v="1"/>
    <n v="7380"/>
    <n v="3780"/>
  </r>
  <r>
    <x v="260"/>
    <s v="02-11-2024"/>
    <s v="C104"/>
    <s v="P203"/>
    <x v="1"/>
    <x v="0"/>
    <n v="8"/>
    <n v="1454"/>
    <s v="Mobile"/>
    <x v="1"/>
    <n v="600"/>
    <x v="0"/>
    <x v="0"/>
    <n v="11632"/>
    <n v="6832"/>
  </r>
  <r>
    <x v="261"/>
    <s v="08-03-2024"/>
    <s v="C102"/>
    <s v="P204"/>
    <x v="3"/>
    <x v="2"/>
    <n v="1"/>
    <n v="899"/>
    <s v="Desk"/>
    <x v="0"/>
    <n v="300"/>
    <x v="4"/>
    <x v="1"/>
    <n v="899"/>
    <n v="599"/>
  </r>
  <r>
    <x v="262"/>
    <s v="27-03-2024"/>
    <s v="C103"/>
    <s v="P203"/>
    <x v="0"/>
    <x v="3"/>
    <n v="1"/>
    <n v="1529"/>
    <s v="Mobile"/>
    <x v="1"/>
    <n v="600"/>
    <x v="3"/>
    <x v="0"/>
    <n v="1529"/>
    <n v="929"/>
  </r>
  <r>
    <x v="263"/>
    <s v="29-08-2024"/>
    <s v="C101"/>
    <s v="P204"/>
    <x v="1"/>
    <x v="0"/>
    <n v="7"/>
    <n v="1836"/>
    <s v="Desk"/>
    <x v="0"/>
    <n v="300"/>
    <x v="2"/>
    <x v="1"/>
    <n v="12852"/>
    <n v="10752"/>
  </r>
  <r>
    <x v="264"/>
    <s v="30-07-2024"/>
    <s v="C104"/>
    <s v="P201"/>
    <x v="3"/>
    <x v="1"/>
    <n v="5"/>
    <n v="1394"/>
    <s v="Laptop"/>
    <x v="1"/>
    <n v="900"/>
    <x v="0"/>
    <x v="0"/>
    <n v="6970"/>
    <n v="2470"/>
  </r>
  <r>
    <x v="265"/>
    <s v="01-03-2024"/>
    <s v="C103"/>
    <s v="P204"/>
    <x v="3"/>
    <x v="1"/>
    <n v="1"/>
    <n v="1706"/>
    <s v="Desk"/>
    <x v="0"/>
    <n v="300"/>
    <x v="3"/>
    <x v="0"/>
    <n v="1706"/>
    <n v="1406"/>
  </r>
  <r>
    <x v="266"/>
    <s v="18-04-2024"/>
    <s v="C101"/>
    <s v="P204"/>
    <x v="2"/>
    <x v="3"/>
    <n v="4"/>
    <n v="1961"/>
    <s v="Desk"/>
    <x v="0"/>
    <n v="300"/>
    <x v="2"/>
    <x v="1"/>
    <n v="7844"/>
    <n v="6644"/>
  </r>
  <r>
    <x v="267"/>
    <s v="19-04-2024"/>
    <s v="C103"/>
    <s v="P203"/>
    <x v="3"/>
    <x v="2"/>
    <n v="6"/>
    <n v="1720"/>
    <s v="Mobile"/>
    <x v="1"/>
    <n v="600"/>
    <x v="3"/>
    <x v="0"/>
    <n v="10320"/>
    <n v="6720"/>
  </r>
  <r>
    <x v="268"/>
    <s v="30-08-2024"/>
    <s v="C104"/>
    <s v="P202"/>
    <x v="3"/>
    <x v="0"/>
    <n v="4"/>
    <n v="1708"/>
    <s v="Printer"/>
    <x v="1"/>
    <n v="1100"/>
    <x v="0"/>
    <x v="0"/>
    <n v="6832"/>
    <n v="2432"/>
  </r>
  <r>
    <x v="269"/>
    <s v="25-09-2024"/>
    <s v="C103"/>
    <s v="P203"/>
    <x v="1"/>
    <x v="2"/>
    <n v="1"/>
    <n v="1639"/>
    <s v="Mobile"/>
    <x v="1"/>
    <n v="600"/>
    <x v="3"/>
    <x v="0"/>
    <n v="1639"/>
    <n v="1039"/>
  </r>
  <r>
    <x v="270"/>
    <s v="18-06-2024"/>
    <s v="C104"/>
    <s v="P205"/>
    <x v="1"/>
    <x v="2"/>
    <n v="7"/>
    <n v="1258"/>
    <s v="Chair"/>
    <x v="0"/>
    <n v="150"/>
    <x v="0"/>
    <x v="0"/>
    <n v="8806"/>
    <n v="7756"/>
  </r>
  <r>
    <x v="271"/>
    <s v="30-03-2024"/>
    <s v="C105"/>
    <s v="P202"/>
    <x v="1"/>
    <x v="1"/>
    <n v="6"/>
    <n v="1723"/>
    <s v="Printer"/>
    <x v="1"/>
    <n v="1100"/>
    <x v="1"/>
    <x v="1"/>
    <n v="10338"/>
    <n v="3738"/>
  </r>
  <r>
    <x v="272"/>
    <s v="08-06-2024"/>
    <s v="C105"/>
    <s v="P203"/>
    <x v="2"/>
    <x v="0"/>
    <n v="9"/>
    <n v="1942"/>
    <s v="Mobile"/>
    <x v="1"/>
    <n v="600"/>
    <x v="1"/>
    <x v="1"/>
    <n v="17478"/>
    <n v="12078"/>
  </r>
  <r>
    <x v="273"/>
    <s v="25-03-2024"/>
    <s v="C103"/>
    <s v="P203"/>
    <x v="3"/>
    <x v="2"/>
    <n v="4"/>
    <n v="1064"/>
    <s v="Mobile"/>
    <x v="1"/>
    <n v="600"/>
    <x v="3"/>
    <x v="0"/>
    <n v="4256"/>
    <n v="1856"/>
  </r>
  <r>
    <x v="274"/>
    <s v="11-05-2024"/>
    <s v="C104"/>
    <s v="P205"/>
    <x v="0"/>
    <x v="1"/>
    <n v="1"/>
    <n v="1825"/>
    <s v="Chair"/>
    <x v="0"/>
    <n v="150"/>
    <x v="0"/>
    <x v="0"/>
    <n v="1825"/>
    <n v="1675"/>
  </r>
  <r>
    <x v="275"/>
    <s v="12-12-2024"/>
    <s v="C101"/>
    <s v="P204"/>
    <x v="1"/>
    <x v="2"/>
    <n v="3"/>
    <n v="1531"/>
    <s v="Desk"/>
    <x v="0"/>
    <n v="300"/>
    <x v="2"/>
    <x v="1"/>
    <n v="4593"/>
    <n v="3693"/>
  </r>
  <r>
    <x v="276"/>
    <s v="03-11-2024"/>
    <s v="C105"/>
    <s v="P203"/>
    <x v="1"/>
    <x v="3"/>
    <n v="6"/>
    <n v="1184"/>
    <s v="Mobile"/>
    <x v="1"/>
    <n v="600"/>
    <x v="1"/>
    <x v="1"/>
    <n v="7104"/>
    <n v="3504"/>
  </r>
  <r>
    <x v="277"/>
    <s v="18-07-2024"/>
    <s v="C101"/>
    <s v="P204"/>
    <x v="1"/>
    <x v="3"/>
    <n v="7"/>
    <n v="1695"/>
    <s v="Desk"/>
    <x v="0"/>
    <n v="300"/>
    <x v="2"/>
    <x v="1"/>
    <n v="11865"/>
    <n v="9765"/>
  </r>
  <r>
    <x v="278"/>
    <s v="03-02-2024"/>
    <s v="C105"/>
    <s v="P204"/>
    <x v="3"/>
    <x v="0"/>
    <n v="3"/>
    <n v="1121"/>
    <s v="Desk"/>
    <x v="0"/>
    <n v="300"/>
    <x v="1"/>
    <x v="1"/>
    <n v="3363"/>
    <n v="2463"/>
  </r>
  <r>
    <x v="279"/>
    <s v="06-07-2024"/>
    <s v="C104"/>
    <s v="P203"/>
    <x v="2"/>
    <x v="0"/>
    <n v="7"/>
    <n v="1496"/>
    <s v="Mobile"/>
    <x v="1"/>
    <n v="600"/>
    <x v="0"/>
    <x v="0"/>
    <n v="10472"/>
    <n v="6272"/>
  </r>
  <r>
    <x v="280"/>
    <s v="26-05-2024"/>
    <s v="C102"/>
    <s v="P203"/>
    <x v="1"/>
    <x v="3"/>
    <n v="9"/>
    <n v="1335"/>
    <s v="Mobile"/>
    <x v="1"/>
    <n v="600"/>
    <x v="4"/>
    <x v="1"/>
    <n v="12015"/>
    <n v="6615"/>
  </r>
  <r>
    <x v="281"/>
    <s v="09-01-2024"/>
    <s v="C104"/>
    <s v="P205"/>
    <x v="1"/>
    <x v="2"/>
    <n v="7"/>
    <n v="1377"/>
    <s v="Chair"/>
    <x v="0"/>
    <n v="150"/>
    <x v="0"/>
    <x v="0"/>
    <n v="9639"/>
    <n v="8589"/>
  </r>
  <r>
    <x v="282"/>
    <s v="09-07-2024"/>
    <s v="C102"/>
    <s v="P201"/>
    <x v="2"/>
    <x v="0"/>
    <n v="1"/>
    <n v="1245"/>
    <s v="Laptop"/>
    <x v="1"/>
    <n v="900"/>
    <x v="4"/>
    <x v="1"/>
    <n v="1245"/>
    <n v="345"/>
  </r>
  <r>
    <x v="283"/>
    <s v="04-02-2024"/>
    <s v="C101"/>
    <s v="P204"/>
    <x v="0"/>
    <x v="1"/>
    <n v="5"/>
    <n v="1122"/>
    <s v="Desk"/>
    <x v="0"/>
    <n v="300"/>
    <x v="2"/>
    <x v="1"/>
    <n v="5610"/>
    <n v="4110"/>
  </r>
  <r>
    <x v="284"/>
    <s v="21-10-2024"/>
    <s v="C104"/>
    <s v="P205"/>
    <x v="2"/>
    <x v="0"/>
    <n v="3"/>
    <n v="1709"/>
    <s v="Chair"/>
    <x v="0"/>
    <n v="150"/>
    <x v="0"/>
    <x v="0"/>
    <n v="5127"/>
    <n v="4677"/>
  </r>
  <r>
    <x v="285"/>
    <s v="22-08-2024"/>
    <s v="C102"/>
    <s v="P204"/>
    <x v="2"/>
    <x v="2"/>
    <n v="10"/>
    <n v="1046"/>
    <s v="Desk"/>
    <x v="0"/>
    <n v="300"/>
    <x v="4"/>
    <x v="1"/>
    <n v="10460"/>
    <n v="7460"/>
  </r>
  <r>
    <x v="286"/>
    <s v="11-10-2024"/>
    <s v="C103"/>
    <s v="P204"/>
    <x v="3"/>
    <x v="0"/>
    <n v="4"/>
    <n v="1762"/>
    <s v="Desk"/>
    <x v="0"/>
    <n v="300"/>
    <x v="3"/>
    <x v="0"/>
    <n v="7048"/>
    <n v="5848"/>
  </r>
  <r>
    <x v="287"/>
    <s v="21-06-2024"/>
    <s v="C101"/>
    <s v="P205"/>
    <x v="3"/>
    <x v="0"/>
    <n v="9"/>
    <n v="1005"/>
    <s v="Chair"/>
    <x v="0"/>
    <n v="150"/>
    <x v="2"/>
    <x v="1"/>
    <n v="9045"/>
    <n v="7695"/>
  </r>
  <r>
    <x v="288"/>
    <s v="05-03-2024"/>
    <s v="C104"/>
    <s v="P203"/>
    <x v="2"/>
    <x v="0"/>
    <n v="4"/>
    <n v="1257"/>
    <s v="Mobile"/>
    <x v="1"/>
    <n v="600"/>
    <x v="0"/>
    <x v="0"/>
    <n v="5028"/>
    <n v="2628"/>
  </r>
  <r>
    <x v="289"/>
    <s v="02-10-2024"/>
    <s v="C105"/>
    <s v="P203"/>
    <x v="0"/>
    <x v="3"/>
    <n v="4"/>
    <n v="1340"/>
    <s v="Mobile"/>
    <x v="1"/>
    <n v="600"/>
    <x v="1"/>
    <x v="1"/>
    <n v="5360"/>
    <n v="2960"/>
  </r>
  <r>
    <x v="290"/>
    <s v="09-11-2024"/>
    <s v="C102"/>
    <s v="P201"/>
    <x v="3"/>
    <x v="0"/>
    <n v="10"/>
    <n v="1084"/>
    <s v="Laptop"/>
    <x v="1"/>
    <n v="900"/>
    <x v="4"/>
    <x v="1"/>
    <n v="10840"/>
    <n v="1840"/>
  </r>
  <r>
    <x v="291"/>
    <s v="19-01-2024"/>
    <s v="C104"/>
    <s v="P202"/>
    <x v="2"/>
    <x v="0"/>
    <n v="4"/>
    <n v="1421"/>
    <s v="Printer"/>
    <x v="1"/>
    <n v="1100"/>
    <x v="0"/>
    <x v="0"/>
    <n v="5684"/>
    <n v="1284"/>
  </r>
  <r>
    <x v="292"/>
    <s v="07-05-2024"/>
    <s v="C101"/>
    <s v="P203"/>
    <x v="2"/>
    <x v="2"/>
    <n v="3"/>
    <n v="1563"/>
    <s v="Mobile"/>
    <x v="1"/>
    <n v="600"/>
    <x v="2"/>
    <x v="1"/>
    <n v="4689"/>
    <n v="2889"/>
  </r>
  <r>
    <x v="293"/>
    <s v="27-07-2024"/>
    <s v="C103"/>
    <s v="P205"/>
    <x v="0"/>
    <x v="3"/>
    <n v="1"/>
    <n v="1063"/>
    <s v="Chair"/>
    <x v="0"/>
    <n v="150"/>
    <x v="3"/>
    <x v="0"/>
    <n v="1063"/>
    <n v="913"/>
  </r>
  <r>
    <x v="294"/>
    <s v="21-11-2024"/>
    <s v="C103"/>
    <s v="P204"/>
    <x v="3"/>
    <x v="1"/>
    <n v="9"/>
    <n v="1878"/>
    <s v="Desk"/>
    <x v="0"/>
    <n v="300"/>
    <x v="3"/>
    <x v="0"/>
    <n v="16902"/>
    <n v="14202"/>
  </r>
  <r>
    <x v="295"/>
    <s v="23-02-2024"/>
    <s v="C105"/>
    <s v="P201"/>
    <x v="1"/>
    <x v="3"/>
    <n v="8"/>
    <n v="1927"/>
    <s v="Laptop"/>
    <x v="1"/>
    <n v="900"/>
    <x v="1"/>
    <x v="1"/>
    <n v="15416"/>
    <n v="8216"/>
  </r>
  <r>
    <x v="296"/>
    <s v="06-07-2024"/>
    <s v="C104"/>
    <s v="P201"/>
    <x v="0"/>
    <x v="0"/>
    <n v="2"/>
    <n v="1468"/>
    <s v="Laptop"/>
    <x v="1"/>
    <n v="900"/>
    <x v="0"/>
    <x v="0"/>
    <n v="2936"/>
    <n v="1136"/>
  </r>
  <r>
    <x v="297"/>
    <s v="01-06-2024"/>
    <s v="C101"/>
    <s v="P203"/>
    <x v="0"/>
    <x v="2"/>
    <n v="3"/>
    <n v="925"/>
    <s v="Mobile"/>
    <x v="1"/>
    <n v="600"/>
    <x v="2"/>
    <x v="1"/>
    <n v="2775"/>
    <n v="975"/>
  </r>
  <r>
    <x v="298"/>
    <s v="21-10-2024"/>
    <s v="C105"/>
    <s v="P205"/>
    <x v="1"/>
    <x v="0"/>
    <n v="2"/>
    <n v="1035"/>
    <s v="Chair"/>
    <x v="0"/>
    <n v="150"/>
    <x v="1"/>
    <x v="1"/>
    <n v="2070"/>
    <n v="1770"/>
  </r>
  <r>
    <x v="299"/>
    <s v="10-05-2024"/>
    <s v="C104"/>
    <s v="P201"/>
    <x v="2"/>
    <x v="1"/>
    <n v="10"/>
    <n v="886"/>
    <s v="Laptop"/>
    <x v="1"/>
    <n v="900"/>
    <x v="0"/>
    <x v="0"/>
    <n v="8860"/>
    <n v="-140"/>
  </r>
  <r>
    <x v="300"/>
    <s v="01-09-2024"/>
    <s v="C103"/>
    <s v="P205"/>
    <x v="0"/>
    <x v="1"/>
    <n v="5"/>
    <n v="1376"/>
    <s v="Chair"/>
    <x v="0"/>
    <n v="150"/>
    <x v="3"/>
    <x v="0"/>
    <n v="6880"/>
    <n v="6130"/>
  </r>
  <r>
    <x v="301"/>
    <s v="03-07-2024"/>
    <s v="C101"/>
    <s v="P201"/>
    <x v="2"/>
    <x v="2"/>
    <n v="7"/>
    <n v="980"/>
    <s v="Laptop"/>
    <x v="1"/>
    <n v="900"/>
    <x v="2"/>
    <x v="1"/>
    <n v="6860"/>
    <n v="560"/>
  </r>
  <r>
    <x v="302"/>
    <s v="28-11-2024"/>
    <s v="C104"/>
    <s v="P203"/>
    <x v="0"/>
    <x v="1"/>
    <n v="5"/>
    <n v="895"/>
    <s v="Mobile"/>
    <x v="1"/>
    <n v="600"/>
    <x v="0"/>
    <x v="0"/>
    <n v="4475"/>
    <n v="1475"/>
  </r>
  <r>
    <x v="303"/>
    <s v="23-03-2024"/>
    <s v="C101"/>
    <s v="P203"/>
    <x v="3"/>
    <x v="0"/>
    <n v="7"/>
    <n v="1045"/>
    <s v="Mobile"/>
    <x v="1"/>
    <n v="600"/>
    <x v="2"/>
    <x v="1"/>
    <n v="7315"/>
    <n v="3115"/>
  </r>
  <r>
    <x v="304"/>
    <s v="16-11-2024"/>
    <s v="C103"/>
    <s v="P201"/>
    <x v="1"/>
    <x v="1"/>
    <n v="4"/>
    <n v="1975"/>
    <s v="Laptop"/>
    <x v="1"/>
    <n v="900"/>
    <x v="3"/>
    <x v="0"/>
    <n v="7900"/>
    <n v="4300"/>
  </r>
  <r>
    <x v="305"/>
    <s v="09-10-2024"/>
    <s v="C105"/>
    <s v="P205"/>
    <x v="1"/>
    <x v="3"/>
    <n v="4"/>
    <n v="1757"/>
    <s v="Chair"/>
    <x v="0"/>
    <n v="150"/>
    <x v="1"/>
    <x v="1"/>
    <n v="7028"/>
    <n v="6428"/>
  </r>
  <r>
    <x v="306"/>
    <s v="02-11-2024"/>
    <s v="C102"/>
    <s v="P204"/>
    <x v="1"/>
    <x v="1"/>
    <n v="1"/>
    <n v="801"/>
    <s v="Desk"/>
    <x v="0"/>
    <n v="300"/>
    <x v="4"/>
    <x v="1"/>
    <n v="801"/>
    <n v="501"/>
  </r>
  <r>
    <x v="307"/>
    <s v="29-09-2024"/>
    <s v="C102"/>
    <s v="P203"/>
    <x v="3"/>
    <x v="3"/>
    <n v="7"/>
    <n v="1791"/>
    <s v="Mobile"/>
    <x v="1"/>
    <n v="600"/>
    <x v="4"/>
    <x v="1"/>
    <n v="12537"/>
    <n v="8337"/>
  </r>
  <r>
    <x v="308"/>
    <s v="06-04-2024"/>
    <s v="C102"/>
    <s v="P201"/>
    <x v="3"/>
    <x v="3"/>
    <n v="1"/>
    <n v="1844"/>
    <s v="Laptop"/>
    <x v="1"/>
    <n v="900"/>
    <x v="4"/>
    <x v="1"/>
    <n v="1844"/>
    <n v="944"/>
  </r>
  <r>
    <x v="309"/>
    <s v="16-11-2024"/>
    <s v="C104"/>
    <s v="P203"/>
    <x v="0"/>
    <x v="3"/>
    <n v="10"/>
    <n v="1845"/>
    <s v="Mobile"/>
    <x v="1"/>
    <n v="600"/>
    <x v="0"/>
    <x v="0"/>
    <n v="18450"/>
    <n v="12450"/>
  </r>
  <r>
    <x v="310"/>
    <s v="25-09-2024"/>
    <s v="C102"/>
    <s v="P203"/>
    <x v="3"/>
    <x v="2"/>
    <n v="10"/>
    <n v="889"/>
    <s v="Mobile"/>
    <x v="1"/>
    <n v="600"/>
    <x v="4"/>
    <x v="1"/>
    <n v="8890"/>
    <n v="2890"/>
  </r>
  <r>
    <x v="311"/>
    <s v="18-01-2024"/>
    <s v="C102"/>
    <s v="P202"/>
    <x v="2"/>
    <x v="0"/>
    <n v="7"/>
    <n v="1203"/>
    <s v="Printer"/>
    <x v="1"/>
    <n v="1100"/>
    <x v="4"/>
    <x v="1"/>
    <n v="8421"/>
    <n v="721"/>
  </r>
  <r>
    <x v="312"/>
    <s v="30-11-2024"/>
    <s v="C102"/>
    <s v="P203"/>
    <x v="0"/>
    <x v="3"/>
    <n v="3"/>
    <n v="1533"/>
    <s v="Mobile"/>
    <x v="1"/>
    <n v="600"/>
    <x v="4"/>
    <x v="1"/>
    <n v="4599"/>
    <n v="2799"/>
  </r>
  <r>
    <x v="313"/>
    <s v="27-08-2024"/>
    <s v="C103"/>
    <s v="P205"/>
    <x v="0"/>
    <x v="2"/>
    <n v="3"/>
    <n v="1668"/>
    <s v="Chair"/>
    <x v="0"/>
    <n v="150"/>
    <x v="3"/>
    <x v="0"/>
    <n v="5004"/>
    <n v="4554"/>
  </r>
  <r>
    <x v="314"/>
    <s v="04-12-2024"/>
    <s v="C105"/>
    <s v="P205"/>
    <x v="3"/>
    <x v="0"/>
    <n v="9"/>
    <n v="1157"/>
    <s v="Chair"/>
    <x v="0"/>
    <n v="150"/>
    <x v="1"/>
    <x v="1"/>
    <n v="10413"/>
    <n v="9063"/>
  </r>
  <r>
    <x v="315"/>
    <s v="19-06-2024"/>
    <s v="C104"/>
    <s v="P202"/>
    <x v="2"/>
    <x v="0"/>
    <n v="8"/>
    <n v="1551"/>
    <s v="Printer"/>
    <x v="1"/>
    <n v="1100"/>
    <x v="0"/>
    <x v="0"/>
    <n v="12408"/>
    <n v="3608"/>
  </r>
  <r>
    <x v="316"/>
    <s v="14-04-2024"/>
    <s v="C105"/>
    <s v="P204"/>
    <x v="1"/>
    <x v="1"/>
    <n v="3"/>
    <n v="966"/>
    <s v="Desk"/>
    <x v="0"/>
    <n v="300"/>
    <x v="1"/>
    <x v="1"/>
    <n v="2898"/>
    <n v="1998"/>
  </r>
  <r>
    <x v="317"/>
    <s v="17-08-2024"/>
    <s v="C102"/>
    <s v="P201"/>
    <x v="3"/>
    <x v="3"/>
    <n v="8"/>
    <n v="1864"/>
    <s v="Laptop"/>
    <x v="1"/>
    <n v="900"/>
    <x v="4"/>
    <x v="1"/>
    <n v="14912"/>
    <n v="7712"/>
  </r>
  <r>
    <x v="318"/>
    <s v="28-05-2024"/>
    <s v="C101"/>
    <s v="P204"/>
    <x v="1"/>
    <x v="0"/>
    <n v="9"/>
    <n v="1435"/>
    <s v="Desk"/>
    <x v="0"/>
    <n v="300"/>
    <x v="2"/>
    <x v="1"/>
    <n v="12915"/>
    <n v="10215"/>
  </r>
  <r>
    <x v="319"/>
    <s v="01-07-2024"/>
    <s v="C102"/>
    <s v="P202"/>
    <x v="1"/>
    <x v="0"/>
    <n v="4"/>
    <n v="1270"/>
    <s v="Printer"/>
    <x v="1"/>
    <n v="1100"/>
    <x v="4"/>
    <x v="1"/>
    <n v="5080"/>
    <n v="680"/>
  </r>
  <r>
    <x v="320"/>
    <s v="31-07-2024"/>
    <s v="C101"/>
    <s v="P201"/>
    <x v="3"/>
    <x v="2"/>
    <n v="3"/>
    <n v="1921"/>
    <s v="Laptop"/>
    <x v="1"/>
    <n v="900"/>
    <x v="2"/>
    <x v="1"/>
    <n v="5763"/>
    <n v="3063"/>
  </r>
  <r>
    <x v="321"/>
    <s v="02-08-2024"/>
    <s v="C103"/>
    <s v="P202"/>
    <x v="1"/>
    <x v="3"/>
    <n v="1"/>
    <n v="1274"/>
    <s v="Printer"/>
    <x v="1"/>
    <n v="1100"/>
    <x v="3"/>
    <x v="0"/>
    <n v="1274"/>
    <n v="174"/>
  </r>
  <r>
    <x v="322"/>
    <s v="27-10-2024"/>
    <s v="C103"/>
    <s v="P202"/>
    <x v="0"/>
    <x v="1"/>
    <n v="5"/>
    <n v="1741"/>
    <s v="Printer"/>
    <x v="1"/>
    <n v="1100"/>
    <x v="3"/>
    <x v="0"/>
    <n v="8705"/>
    <n v="3205"/>
  </r>
  <r>
    <x v="323"/>
    <s v="13-08-2024"/>
    <s v="C104"/>
    <s v="P204"/>
    <x v="2"/>
    <x v="3"/>
    <n v="9"/>
    <n v="1327"/>
    <s v="Desk"/>
    <x v="0"/>
    <n v="300"/>
    <x v="0"/>
    <x v="0"/>
    <n v="11943"/>
    <n v="9243"/>
  </r>
  <r>
    <x v="324"/>
    <s v="10-11-2024"/>
    <s v="C101"/>
    <s v="P203"/>
    <x v="2"/>
    <x v="1"/>
    <n v="2"/>
    <n v="982"/>
    <s v="Mobile"/>
    <x v="1"/>
    <n v="600"/>
    <x v="2"/>
    <x v="1"/>
    <n v="1964"/>
    <n v="764"/>
  </r>
  <r>
    <x v="325"/>
    <s v="29-01-2024"/>
    <s v="C104"/>
    <s v="P205"/>
    <x v="1"/>
    <x v="0"/>
    <n v="2"/>
    <n v="1997"/>
    <s v="Chair"/>
    <x v="0"/>
    <n v="150"/>
    <x v="0"/>
    <x v="0"/>
    <n v="3994"/>
    <n v="3694"/>
  </r>
  <r>
    <x v="326"/>
    <s v="08-08-2024"/>
    <s v="C102"/>
    <s v="P202"/>
    <x v="3"/>
    <x v="2"/>
    <n v="10"/>
    <n v="1073"/>
    <s v="Printer"/>
    <x v="1"/>
    <n v="1100"/>
    <x v="4"/>
    <x v="1"/>
    <n v="10730"/>
    <n v="-270"/>
  </r>
  <r>
    <x v="327"/>
    <s v="23-01-2024"/>
    <s v="C104"/>
    <s v="P201"/>
    <x v="0"/>
    <x v="1"/>
    <n v="4"/>
    <n v="1104"/>
    <s v="Laptop"/>
    <x v="1"/>
    <n v="900"/>
    <x v="0"/>
    <x v="0"/>
    <n v="4416"/>
    <n v="816"/>
  </r>
  <r>
    <x v="328"/>
    <s v="31-10-2024"/>
    <s v="C103"/>
    <s v="P204"/>
    <x v="2"/>
    <x v="2"/>
    <n v="9"/>
    <n v="1800"/>
    <s v="Desk"/>
    <x v="0"/>
    <n v="300"/>
    <x v="3"/>
    <x v="0"/>
    <n v="16200"/>
    <n v="13500"/>
  </r>
  <r>
    <x v="329"/>
    <s v="20-08-2024"/>
    <s v="C104"/>
    <s v="P204"/>
    <x v="2"/>
    <x v="1"/>
    <n v="7"/>
    <n v="1474"/>
    <s v="Desk"/>
    <x v="0"/>
    <n v="300"/>
    <x v="0"/>
    <x v="0"/>
    <n v="10318"/>
    <n v="8218"/>
  </r>
  <r>
    <x v="330"/>
    <s v="27-09-2024"/>
    <s v="C105"/>
    <s v="P205"/>
    <x v="0"/>
    <x v="2"/>
    <n v="4"/>
    <n v="1405"/>
    <s v="Chair"/>
    <x v="0"/>
    <n v="150"/>
    <x v="1"/>
    <x v="1"/>
    <n v="5620"/>
    <n v="5020"/>
  </r>
  <r>
    <x v="331"/>
    <s v="16-05-2024"/>
    <s v="C101"/>
    <s v="P202"/>
    <x v="2"/>
    <x v="0"/>
    <n v="8"/>
    <n v="1757"/>
    <s v="Printer"/>
    <x v="1"/>
    <n v="1100"/>
    <x v="2"/>
    <x v="1"/>
    <n v="14056"/>
    <n v="5256"/>
  </r>
  <r>
    <x v="332"/>
    <s v="30-03-2024"/>
    <s v="C104"/>
    <s v="P204"/>
    <x v="2"/>
    <x v="1"/>
    <n v="8"/>
    <n v="1373"/>
    <s v="Desk"/>
    <x v="0"/>
    <n v="300"/>
    <x v="0"/>
    <x v="0"/>
    <n v="10984"/>
    <n v="8584"/>
  </r>
  <r>
    <x v="333"/>
    <s v="06-05-2024"/>
    <s v="C104"/>
    <s v="P202"/>
    <x v="3"/>
    <x v="2"/>
    <n v="3"/>
    <n v="1864"/>
    <s v="Printer"/>
    <x v="1"/>
    <n v="1100"/>
    <x v="0"/>
    <x v="0"/>
    <n v="5592"/>
    <n v="2292"/>
  </r>
  <r>
    <x v="334"/>
    <s v="06-12-2024"/>
    <s v="C102"/>
    <s v="P201"/>
    <x v="3"/>
    <x v="2"/>
    <n v="1"/>
    <n v="1829"/>
    <s v="Laptop"/>
    <x v="1"/>
    <n v="900"/>
    <x v="4"/>
    <x v="1"/>
    <n v="1829"/>
    <n v="929"/>
  </r>
  <r>
    <x v="335"/>
    <s v="29-10-2024"/>
    <s v="C101"/>
    <s v="P201"/>
    <x v="2"/>
    <x v="1"/>
    <n v="3"/>
    <n v="1360"/>
    <s v="Laptop"/>
    <x v="1"/>
    <n v="900"/>
    <x v="2"/>
    <x v="1"/>
    <n v="4080"/>
    <n v="1380"/>
  </r>
  <r>
    <x v="336"/>
    <s v="23-09-2024"/>
    <s v="C105"/>
    <s v="P205"/>
    <x v="2"/>
    <x v="2"/>
    <n v="2"/>
    <n v="1103"/>
    <s v="Chair"/>
    <x v="0"/>
    <n v="150"/>
    <x v="1"/>
    <x v="1"/>
    <n v="2206"/>
    <n v="1906"/>
  </r>
  <r>
    <x v="337"/>
    <s v="25-03-2024"/>
    <s v="C104"/>
    <s v="P202"/>
    <x v="2"/>
    <x v="0"/>
    <n v="5"/>
    <n v="1701"/>
    <s v="Printer"/>
    <x v="1"/>
    <n v="1100"/>
    <x v="0"/>
    <x v="0"/>
    <n v="8505"/>
    <n v="3005"/>
  </r>
  <r>
    <x v="338"/>
    <s v="31-10-2024"/>
    <s v="C102"/>
    <s v="P203"/>
    <x v="3"/>
    <x v="1"/>
    <n v="3"/>
    <n v="1298"/>
    <s v="Mobile"/>
    <x v="1"/>
    <n v="600"/>
    <x v="4"/>
    <x v="1"/>
    <n v="3894"/>
    <n v="2094"/>
  </r>
  <r>
    <x v="339"/>
    <s v="30-01-2024"/>
    <s v="C103"/>
    <s v="P201"/>
    <x v="2"/>
    <x v="2"/>
    <n v="6"/>
    <n v="1345"/>
    <s v="Laptop"/>
    <x v="1"/>
    <n v="900"/>
    <x v="3"/>
    <x v="0"/>
    <n v="8070"/>
    <n v="2670"/>
  </r>
  <r>
    <x v="340"/>
    <s v="16-04-2024"/>
    <s v="C103"/>
    <s v="P202"/>
    <x v="1"/>
    <x v="2"/>
    <n v="1"/>
    <n v="1487"/>
    <s v="Printer"/>
    <x v="1"/>
    <n v="1100"/>
    <x v="3"/>
    <x v="0"/>
    <n v="1487"/>
    <n v="387"/>
  </r>
  <r>
    <x v="341"/>
    <s v="31-08-2024"/>
    <s v="C105"/>
    <s v="P205"/>
    <x v="2"/>
    <x v="3"/>
    <n v="9"/>
    <n v="1201"/>
    <s v="Chair"/>
    <x v="0"/>
    <n v="150"/>
    <x v="1"/>
    <x v="1"/>
    <n v="10809"/>
    <n v="9459"/>
  </r>
  <r>
    <x v="342"/>
    <s v="24-08-2024"/>
    <s v="C101"/>
    <s v="P205"/>
    <x v="1"/>
    <x v="0"/>
    <n v="10"/>
    <n v="1293"/>
    <s v="Chair"/>
    <x v="0"/>
    <n v="150"/>
    <x v="2"/>
    <x v="1"/>
    <n v="12930"/>
    <n v="11430"/>
  </r>
  <r>
    <x v="343"/>
    <s v="09-10-2024"/>
    <s v="C103"/>
    <s v="P204"/>
    <x v="2"/>
    <x v="0"/>
    <n v="1"/>
    <n v="1309"/>
    <s v="Desk"/>
    <x v="0"/>
    <n v="300"/>
    <x v="3"/>
    <x v="0"/>
    <n v="1309"/>
    <n v="1009"/>
  </r>
  <r>
    <x v="344"/>
    <s v="16-03-2024"/>
    <s v="C101"/>
    <s v="P205"/>
    <x v="0"/>
    <x v="0"/>
    <n v="2"/>
    <n v="1140"/>
    <s v="Chair"/>
    <x v="0"/>
    <n v="150"/>
    <x v="2"/>
    <x v="1"/>
    <n v="2280"/>
    <n v="1980"/>
  </r>
  <r>
    <x v="345"/>
    <s v="04-04-2024"/>
    <s v="C104"/>
    <s v="P203"/>
    <x v="1"/>
    <x v="3"/>
    <n v="8"/>
    <n v="1572"/>
    <s v="Mobile"/>
    <x v="1"/>
    <n v="600"/>
    <x v="0"/>
    <x v="0"/>
    <n v="12576"/>
    <n v="7776"/>
  </r>
  <r>
    <x v="346"/>
    <s v="02-07-2024"/>
    <s v="C105"/>
    <s v="P202"/>
    <x v="0"/>
    <x v="1"/>
    <n v="2"/>
    <n v="1330"/>
    <s v="Printer"/>
    <x v="1"/>
    <n v="1100"/>
    <x v="1"/>
    <x v="1"/>
    <n v="2660"/>
    <n v="460"/>
  </r>
  <r>
    <x v="347"/>
    <s v="04-05-2024"/>
    <s v="C105"/>
    <s v="P205"/>
    <x v="3"/>
    <x v="2"/>
    <n v="3"/>
    <n v="1884"/>
    <s v="Chair"/>
    <x v="0"/>
    <n v="150"/>
    <x v="1"/>
    <x v="1"/>
    <n v="5652"/>
    <n v="5202"/>
  </r>
  <r>
    <x v="348"/>
    <s v="08-12-2024"/>
    <s v="C101"/>
    <s v="P202"/>
    <x v="3"/>
    <x v="1"/>
    <n v="7"/>
    <n v="826"/>
    <s v="Printer"/>
    <x v="1"/>
    <n v="1100"/>
    <x v="2"/>
    <x v="1"/>
    <n v="5782"/>
    <n v="-1918"/>
  </r>
  <r>
    <x v="349"/>
    <s v="01-10-2024"/>
    <s v="C105"/>
    <s v="P204"/>
    <x v="2"/>
    <x v="1"/>
    <n v="5"/>
    <n v="877"/>
    <s v="Desk"/>
    <x v="0"/>
    <n v="300"/>
    <x v="1"/>
    <x v="1"/>
    <n v="4385"/>
    <n v="2885"/>
  </r>
  <r>
    <x v="350"/>
    <s v="06-01-2024"/>
    <s v="C101"/>
    <s v="P201"/>
    <x v="3"/>
    <x v="2"/>
    <n v="7"/>
    <n v="848"/>
    <s v="Laptop"/>
    <x v="1"/>
    <n v="900"/>
    <x v="2"/>
    <x v="1"/>
    <n v="5936"/>
    <n v="-364"/>
  </r>
  <r>
    <x v="351"/>
    <s v="14-05-2024"/>
    <s v="C104"/>
    <s v="P203"/>
    <x v="1"/>
    <x v="0"/>
    <n v="4"/>
    <n v="1377"/>
    <s v="Mobile"/>
    <x v="1"/>
    <n v="600"/>
    <x v="0"/>
    <x v="0"/>
    <n v="5508"/>
    <n v="3108"/>
  </r>
  <r>
    <x v="352"/>
    <s v="18-05-2024"/>
    <s v="C105"/>
    <s v="P205"/>
    <x v="0"/>
    <x v="3"/>
    <n v="6"/>
    <n v="1423"/>
    <s v="Chair"/>
    <x v="0"/>
    <n v="150"/>
    <x v="1"/>
    <x v="1"/>
    <n v="8538"/>
    <n v="7638"/>
  </r>
  <r>
    <x v="353"/>
    <s v="15-03-2024"/>
    <s v="C102"/>
    <s v="P203"/>
    <x v="1"/>
    <x v="1"/>
    <n v="7"/>
    <n v="1298"/>
    <s v="Mobile"/>
    <x v="1"/>
    <n v="600"/>
    <x v="4"/>
    <x v="1"/>
    <n v="9086"/>
    <n v="4886"/>
  </r>
  <r>
    <x v="354"/>
    <s v="05-07-2024"/>
    <s v="C104"/>
    <s v="P201"/>
    <x v="1"/>
    <x v="1"/>
    <n v="1"/>
    <n v="1526"/>
    <s v="Laptop"/>
    <x v="1"/>
    <n v="900"/>
    <x v="0"/>
    <x v="0"/>
    <n v="1526"/>
    <n v="626"/>
  </r>
  <r>
    <x v="355"/>
    <s v="03-05-2024"/>
    <s v="C104"/>
    <s v="P205"/>
    <x v="1"/>
    <x v="2"/>
    <n v="10"/>
    <n v="1679"/>
    <s v="Chair"/>
    <x v="0"/>
    <n v="150"/>
    <x v="0"/>
    <x v="0"/>
    <n v="16790"/>
    <n v="15290"/>
  </r>
  <r>
    <x v="356"/>
    <s v="23-06-2024"/>
    <s v="C103"/>
    <s v="P205"/>
    <x v="3"/>
    <x v="1"/>
    <n v="10"/>
    <n v="1022"/>
    <s v="Chair"/>
    <x v="0"/>
    <n v="150"/>
    <x v="3"/>
    <x v="0"/>
    <n v="10220"/>
    <n v="8720"/>
  </r>
  <r>
    <x v="357"/>
    <s v="30-05-2024"/>
    <s v="C104"/>
    <s v="P205"/>
    <x v="2"/>
    <x v="1"/>
    <n v="7"/>
    <n v="1306"/>
    <s v="Chair"/>
    <x v="0"/>
    <n v="150"/>
    <x v="0"/>
    <x v="0"/>
    <n v="9142"/>
    <n v="8092"/>
  </r>
  <r>
    <x v="358"/>
    <s v="18-06-2024"/>
    <s v="C103"/>
    <s v="P205"/>
    <x v="3"/>
    <x v="3"/>
    <n v="3"/>
    <n v="994"/>
    <s v="Chair"/>
    <x v="0"/>
    <n v="150"/>
    <x v="3"/>
    <x v="0"/>
    <n v="2982"/>
    <n v="2532"/>
  </r>
  <r>
    <x v="359"/>
    <s v="01-09-2024"/>
    <s v="C102"/>
    <s v="P204"/>
    <x v="2"/>
    <x v="3"/>
    <n v="3"/>
    <n v="1988"/>
    <s v="Desk"/>
    <x v="0"/>
    <n v="300"/>
    <x v="4"/>
    <x v="1"/>
    <n v="5964"/>
    <n v="5064"/>
  </r>
  <r>
    <x v="360"/>
    <s v="26-08-2024"/>
    <s v="C102"/>
    <s v="P205"/>
    <x v="0"/>
    <x v="2"/>
    <n v="5"/>
    <n v="1795"/>
    <s v="Chair"/>
    <x v="0"/>
    <n v="150"/>
    <x v="4"/>
    <x v="1"/>
    <n v="8975"/>
    <n v="8225"/>
  </r>
  <r>
    <x v="361"/>
    <s v="04-07-2024"/>
    <s v="C102"/>
    <s v="P205"/>
    <x v="0"/>
    <x v="2"/>
    <n v="7"/>
    <n v="1853"/>
    <s v="Chair"/>
    <x v="0"/>
    <n v="150"/>
    <x v="4"/>
    <x v="1"/>
    <n v="12971"/>
    <n v="11921"/>
  </r>
  <r>
    <x v="362"/>
    <s v="20-06-2024"/>
    <s v="C104"/>
    <s v="P203"/>
    <x v="2"/>
    <x v="3"/>
    <n v="3"/>
    <n v="1001"/>
    <s v="Mobile"/>
    <x v="1"/>
    <n v="600"/>
    <x v="0"/>
    <x v="0"/>
    <n v="3003"/>
    <n v="1203"/>
  </r>
  <r>
    <x v="363"/>
    <s v="24-12-2024"/>
    <s v="C102"/>
    <s v="P204"/>
    <x v="3"/>
    <x v="2"/>
    <n v="6"/>
    <n v="1598"/>
    <s v="Desk"/>
    <x v="0"/>
    <n v="300"/>
    <x v="4"/>
    <x v="1"/>
    <n v="9588"/>
    <n v="7788"/>
  </r>
  <r>
    <x v="364"/>
    <s v="04-12-2024"/>
    <s v="C103"/>
    <s v="P202"/>
    <x v="2"/>
    <x v="1"/>
    <n v="9"/>
    <n v="1991"/>
    <s v="Printer"/>
    <x v="1"/>
    <n v="1100"/>
    <x v="3"/>
    <x v="0"/>
    <n v="17919"/>
    <n v="8019"/>
  </r>
  <r>
    <x v="365"/>
    <s v="09-11-2024"/>
    <s v="C103"/>
    <s v="P205"/>
    <x v="1"/>
    <x v="3"/>
    <n v="8"/>
    <n v="955"/>
    <s v="Chair"/>
    <x v="0"/>
    <n v="150"/>
    <x v="3"/>
    <x v="0"/>
    <n v="7640"/>
    <n v="6440"/>
  </r>
  <r>
    <x v="366"/>
    <s v="23-06-2024"/>
    <s v="C102"/>
    <s v="P205"/>
    <x v="2"/>
    <x v="3"/>
    <n v="1"/>
    <n v="1635"/>
    <s v="Chair"/>
    <x v="0"/>
    <n v="150"/>
    <x v="4"/>
    <x v="1"/>
    <n v="1635"/>
    <n v="1485"/>
  </r>
  <r>
    <x v="367"/>
    <s v="07-02-2024"/>
    <s v="C101"/>
    <s v="P203"/>
    <x v="3"/>
    <x v="3"/>
    <n v="3"/>
    <n v="1615"/>
    <s v="Mobile"/>
    <x v="1"/>
    <n v="600"/>
    <x v="2"/>
    <x v="1"/>
    <n v="4845"/>
    <n v="3045"/>
  </r>
  <r>
    <x v="368"/>
    <s v="10-02-2024"/>
    <s v="C101"/>
    <s v="P204"/>
    <x v="1"/>
    <x v="1"/>
    <n v="8"/>
    <n v="1904"/>
    <s v="Desk"/>
    <x v="0"/>
    <n v="300"/>
    <x v="2"/>
    <x v="1"/>
    <n v="15232"/>
    <n v="12832"/>
  </r>
  <r>
    <x v="369"/>
    <s v="01-07-2024"/>
    <s v="C102"/>
    <s v="P204"/>
    <x v="2"/>
    <x v="0"/>
    <n v="3"/>
    <n v="1319"/>
    <s v="Desk"/>
    <x v="0"/>
    <n v="300"/>
    <x v="4"/>
    <x v="1"/>
    <n v="3957"/>
    <n v="3057"/>
  </r>
  <r>
    <x v="370"/>
    <s v="13-02-2024"/>
    <s v="C104"/>
    <s v="P203"/>
    <x v="2"/>
    <x v="3"/>
    <n v="8"/>
    <n v="1208"/>
    <s v="Mobile"/>
    <x v="1"/>
    <n v="600"/>
    <x v="0"/>
    <x v="0"/>
    <n v="9664"/>
    <n v="4864"/>
  </r>
  <r>
    <x v="371"/>
    <s v="10-07-2024"/>
    <s v="C103"/>
    <s v="P201"/>
    <x v="0"/>
    <x v="0"/>
    <n v="3"/>
    <n v="1300"/>
    <s v="Laptop"/>
    <x v="1"/>
    <n v="900"/>
    <x v="3"/>
    <x v="0"/>
    <n v="3900"/>
    <n v="1200"/>
  </r>
  <r>
    <x v="372"/>
    <s v="25-02-2024"/>
    <s v="C102"/>
    <s v="P205"/>
    <x v="3"/>
    <x v="1"/>
    <n v="4"/>
    <n v="1339"/>
    <s v="Chair"/>
    <x v="0"/>
    <n v="150"/>
    <x v="4"/>
    <x v="1"/>
    <n v="5356"/>
    <n v="4756"/>
  </r>
  <r>
    <x v="373"/>
    <s v="27-01-2024"/>
    <s v="C103"/>
    <s v="P204"/>
    <x v="3"/>
    <x v="2"/>
    <n v="1"/>
    <n v="1959"/>
    <s v="Desk"/>
    <x v="0"/>
    <n v="300"/>
    <x v="3"/>
    <x v="0"/>
    <n v="1959"/>
    <n v="1659"/>
  </r>
  <r>
    <x v="374"/>
    <s v="19-05-2024"/>
    <s v="C104"/>
    <s v="P201"/>
    <x v="1"/>
    <x v="1"/>
    <n v="5"/>
    <n v="1837"/>
    <s v="Laptop"/>
    <x v="1"/>
    <n v="900"/>
    <x v="0"/>
    <x v="0"/>
    <n v="9185"/>
    <n v="4685"/>
  </r>
  <r>
    <x v="375"/>
    <s v="21-11-2024"/>
    <s v="C102"/>
    <s v="P202"/>
    <x v="1"/>
    <x v="1"/>
    <n v="7"/>
    <n v="1409"/>
    <s v="Printer"/>
    <x v="1"/>
    <n v="1100"/>
    <x v="4"/>
    <x v="1"/>
    <n v="9863"/>
    <n v="2163"/>
  </r>
  <r>
    <x v="376"/>
    <s v="29-10-2024"/>
    <s v="C103"/>
    <s v="P201"/>
    <x v="0"/>
    <x v="2"/>
    <n v="9"/>
    <n v="841"/>
    <s v="Laptop"/>
    <x v="1"/>
    <n v="900"/>
    <x v="3"/>
    <x v="0"/>
    <n v="7569"/>
    <n v="-531"/>
  </r>
  <r>
    <x v="377"/>
    <s v="29-01-2024"/>
    <s v="C105"/>
    <s v="P201"/>
    <x v="1"/>
    <x v="1"/>
    <n v="9"/>
    <n v="1738"/>
    <s v="Laptop"/>
    <x v="1"/>
    <n v="900"/>
    <x v="1"/>
    <x v="1"/>
    <n v="15642"/>
    <n v="7542"/>
  </r>
  <r>
    <x v="378"/>
    <s v="02-12-2024"/>
    <s v="C105"/>
    <s v="P205"/>
    <x v="0"/>
    <x v="2"/>
    <n v="4"/>
    <n v="1177"/>
    <s v="Chair"/>
    <x v="0"/>
    <n v="150"/>
    <x v="1"/>
    <x v="1"/>
    <n v="4708"/>
    <n v="4108"/>
  </r>
  <r>
    <x v="379"/>
    <s v="29-05-2024"/>
    <s v="C104"/>
    <s v="P201"/>
    <x v="2"/>
    <x v="0"/>
    <n v="10"/>
    <n v="1407"/>
    <s v="Laptop"/>
    <x v="1"/>
    <n v="900"/>
    <x v="0"/>
    <x v="0"/>
    <n v="14070"/>
    <n v="5070"/>
  </r>
  <r>
    <x v="380"/>
    <s v="26-12-2024"/>
    <s v="C101"/>
    <s v="P202"/>
    <x v="2"/>
    <x v="1"/>
    <n v="8"/>
    <n v="813"/>
    <s v="Printer"/>
    <x v="1"/>
    <n v="1100"/>
    <x v="2"/>
    <x v="1"/>
    <n v="6504"/>
    <n v="-2296"/>
  </r>
  <r>
    <x v="381"/>
    <s v="01-09-2024"/>
    <s v="C101"/>
    <s v="P203"/>
    <x v="3"/>
    <x v="1"/>
    <n v="7"/>
    <n v="989"/>
    <s v="Mobile"/>
    <x v="1"/>
    <n v="600"/>
    <x v="2"/>
    <x v="1"/>
    <n v="6923"/>
    <n v="2723"/>
  </r>
  <r>
    <x v="382"/>
    <s v="10-10-2024"/>
    <s v="C104"/>
    <s v="P201"/>
    <x v="2"/>
    <x v="3"/>
    <n v="7"/>
    <n v="1793"/>
    <s v="Laptop"/>
    <x v="1"/>
    <n v="900"/>
    <x v="0"/>
    <x v="0"/>
    <n v="12551"/>
    <n v="6251"/>
  </r>
  <r>
    <x v="383"/>
    <s v="28-06-2024"/>
    <s v="C101"/>
    <s v="P201"/>
    <x v="1"/>
    <x v="1"/>
    <n v="4"/>
    <n v="1976"/>
    <s v="Laptop"/>
    <x v="1"/>
    <n v="900"/>
    <x v="2"/>
    <x v="1"/>
    <n v="7904"/>
    <n v="4304"/>
  </r>
  <r>
    <x v="384"/>
    <s v="25-08-2024"/>
    <s v="C101"/>
    <s v="P203"/>
    <x v="0"/>
    <x v="1"/>
    <n v="2"/>
    <n v="1733"/>
    <s v="Mobile"/>
    <x v="1"/>
    <n v="600"/>
    <x v="2"/>
    <x v="1"/>
    <n v="3466"/>
    <n v="2266"/>
  </r>
  <r>
    <x v="385"/>
    <s v="11-01-2024"/>
    <s v="C105"/>
    <s v="P204"/>
    <x v="1"/>
    <x v="2"/>
    <n v="6"/>
    <n v="1309"/>
    <s v="Desk"/>
    <x v="0"/>
    <n v="300"/>
    <x v="1"/>
    <x v="1"/>
    <n v="7854"/>
    <n v="6054"/>
  </r>
  <r>
    <x v="386"/>
    <s v="17-07-2024"/>
    <s v="C104"/>
    <s v="P201"/>
    <x v="1"/>
    <x v="3"/>
    <n v="10"/>
    <n v="1481"/>
    <s v="Laptop"/>
    <x v="1"/>
    <n v="900"/>
    <x v="0"/>
    <x v="0"/>
    <n v="14810"/>
    <n v="5810"/>
  </r>
  <r>
    <x v="387"/>
    <s v="25-07-2024"/>
    <s v="C102"/>
    <s v="P203"/>
    <x v="3"/>
    <x v="2"/>
    <n v="3"/>
    <n v="863"/>
    <s v="Mobile"/>
    <x v="1"/>
    <n v="600"/>
    <x v="4"/>
    <x v="1"/>
    <n v="2589"/>
    <n v="789"/>
  </r>
  <r>
    <x v="388"/>
    <s v="10-08-2024"/>
    <s v="C101"/>
    <s v="P202"/>
    <x v="2"/>
    <x v="1"/>
    <n v="8"/>
    <n v="945"/>
    <s v="Printer"/>
    <x v="1"/>
    <n v="1100"/>
    <x v="2"/>
    <x v="1"/>
    <n v="7560"/>
    <n v="-1240"/>
  </r>
  <r>
    <x v="389"/>
    <s v="25-03-2024"/>
    <s v="C102"/>
    <s v="P201"/>
    <x v="2"/>
    <x v="2"/>
    <n v="5"/>
    <n v="1902"/>
    <s v="Laptop"/>
    <x v="1"/>
    <n v="900"/>
    <x v="4"/>
    <x v="1"/>
    <n v="9510"/>
    <n v="5010"/>
  </r>
  <r>
    <x v="390"/>
    <s v="25-03-2024"/>
    <s v="C104"/>
    <s v="P202"/>
    <x v="0"/>
    <x v="3"/>
    <n v="6"/>
    <n v="881"/>
    <s v="Printer"/>
    <x v="1"/>
    <n v="1100"/>
    <x v="0"/>
    <x v="0"/>
    <n v="5286"/>
    <n v="-1314"/>
  </r>
  <r>
    <x v="391"/>
    <s v="05-10-2024"/>
    <s v="C105"/>
    <s v="P204"/>
    <x v="3"/>
    <x v="0"/>
    <n v="2"/>
    <n v="1564"/>
    <s v="Desk"/>
    <x v="0"/>
    <n v="300"/>
    <x v="1"/>
    <x v="1"/>
    <n v="3128"/>
    <n v="2528"/>
  </r>
  <r>
    <x v="392"/>
    <s v="07-05-2024"/>
    <s v="C101"/>
    <s v="P202"/>
    <x v="2"/>
    <x v="3"/>
    <n v="3"/>
    <n v="1805"/>
    <s v="Printer"/>
    <x v="1"/>
    <n v="1100"/>
    <x v="2"/>
    <x v="1"/>
    <n v="5415"/>
    <n v="2115"/>
  </r>
  <r>
    <x v="393"/>
    <s v="22-03-2024"/>
    <s v="C105"/>
    <s v="P205"/>
    <x v="1"/>
    <x v="1"/>
    <n v="1"/>
    <n v="1664"/>
    <s v="Chair"/>
    <x v="0"/>
    <n v="150"/>
    <x v="1"/>
    <x v="1"/>
    <n v="1664"/>
    <n v="1514"/>
  </r>
  <r>
    <x v="394"/>
    <s v="17-04-2024"/>
    <s v="C101"/>
    <s v="P203"/>
    <x v="0"/>
    <x v="1"/>
    <n v="8"/>
    <n v="1981"/>
    <s v="Mobile"/>
    <x v="1"/>
    <n v="600"/>
    <x v="2"/>
    <x v="1"/>
    <n v="15848"/>
    <n v="11048"/>
  </r>
  <r>
    <x v="395"/>
    <s v="23-04-2024"/>
    <s v="C102"/>
    <s v="P204"/>
    <x v="2"/>
    <x v="2"/>
    <n v="10"/>
    <n v="1665"/>
    <s v="Desk"/>
    <x v="0"/>
    <n v="300"/>
    <x v="4"/>
    <x v="1"/>
    <n v="16650"/>
    <n v="13650"/>
  </r>
  <r>
    <x v="396"/>
    <s v="03-10-2024"/>
    <s v="C105"/>
    <s v="P201"/>
    <x v="2"/>
    <x v="1"/>
    <n v="2"/>
    <n v="957"/>
    <s v="Laptop"/>
    <x v="1"/>
    <n v="900"/>
    <x v="1"/>
    <x v="1"/>
    <n v="1914"/>
    <n v="114"/>
  </r>
  <r>
    <x v="397"/>
    <s v="25-12-2024"/>
    <s v="C104"/>
    <s v="P203"/>
    <x v="3"/>
    <x v="1"/>
    <n v="4"/>
    <n v="882"/>
    <s v="Mobile"/>
    <x v="1"/>
    <n v="600"/>
    <x v="0"/>
    <x v="0"/>
    <n v="3528"/>
    <n v="1128"/>
  </r>
  <r>
    <x v="398"/>
    <s v="29-09-2024"/>
    <s v="C102"/>
    <s v="P205"/>
    <x v="1"/>
    <x v="0"/>
    <n v="10"/>
    <n v="1008"/>
    <s v="Chair"/>
    <x v="0"/>
    <n v="150"/>
    <x v="4"/>
    <x v="1"/>
    <n v="10080"/>
    <n v="8580"/>
  </r>
  <r>
    <x v="399"/>
    <s v="09-12-2024"/>
    <s v="C102"/>
    <s v="P204"/>
    <x v="3"/>
    <x v="2"/>
    <n v="2"/>
    <n v="920"/>
    <s v="Desk"/>
    <x v="0"/>
    <n v="300"/>
    <x v="4"/>
    <x v="1"/>
    <n v="1840"/>
    <n v="1240"/>
  </r>
  <r>
    <x v="400"/>
    <s v="29-02-2024"/>
    <s v="C105"/>
    <s v="P204"/>
    <x v="0"/>
    <x v="2"/>
    <n v="9"/>
    <n v="1805"/>
    <s v="Desk"/>
    <x v="0"/>
    <n v="300"/>
    <x v="1"/>
    <x v="1"/>
    <n v="16245"/>
    <n v="13545"/>
  </r>
  <r>
    <x v="401"/>
    <s v="17-04-2024"/>
    <s v="C101"/>
    <s v="P201"/>
    <x v="2"/>
    <x v="1"/>
    <n v="3"/>
    <n v="1798"/>
    <s v="Laptop"/>
    <x v="1"/>
    <n v="900"/>
    <x v="2"/>
    <x v="1"/>
    <n v="5394"/>
    <n v="2694"/>
  </r>
  <r>
    <x v="402"/>
    <s v="12-04-2024"/>
    <s v="C105"/>
    <s v="P204"/>
    <x v="0"/>
    <x v="2"/>
    <n v="6"/>
    <n v="1309"/>
    <s v="Desk"/>
    <x v="0"/>
    <n v="300"/>
    <x v="1"/>
    <x v="1"/>
    <n v="7854"/>
    <n v="6054"/>
  </r>
  <r>
    <x v="403"/>
    <s v="05-08-2024"/>
    <s v="C103"/>
    <s v="P201"/>
    <x v="0"/>
    <x v="0"/>
    <n v="9"/>
    <n v="1002"/>
    <s v="Laptop"/>
    <x v="1"/>
    <n v="900"/>
    <x v="3"/>
    <x v="0"/>
    <n v="9018"/>
    <n v="918"/>
  </r>
  <r>
    <x v="404"/>
    <s v="16-11-2024"/>
    <s v="C104"/>
    <s v="P205"/>
    <x v="2"/>
    <x v="3"/>
    <n v="3"/>
    <n v="1244"/>
    <s v="Chair"/>
    <x v="0"/>
    <n v="150"/>
    <x v="0"/>
    <x v="0"/>
    <n v="3732"/>
    <n v="3282"/>
  </r>
  <r>
    <x v="405"/>
    <s v="07-03-2024"/>
    <s v="C102"/>
    <s v="P204"/>
    <x v="3"/>
    <x v="1"/>
    <n v="6"/>
    <n v="899"/>
    <s v="Desk"/>
    <x v="0"/>
    <n v="300"/>
    <x v="4"/>
    <x v="1"/>
    <n v="5394"/>
    <n v="3594"/>
  </r>
  <r>
    <x v="406"/>
    <s v="21-05-2024"/>
    <s v="C104"/>
    <s v="P205"/>
    <x v="0"/>
    <x v="3"/>
    <n v="3"/>
    <n v="1784"/>
    <s v="Chair"/>
    <x v="0"/>
    <n v="150"/>
    <x v="0"/>
    <x v="0"/>
    <n v="5352"/>
    <n v="4902"/>
  </r>
  <r>
    <x v="407"/>
    <s v="08-10-2024"/>
    <s v="C105"/>
    <s v="P203"/>
    <x v="0"/>
    <x v="3"/>
    <n v="3"/>
    <n v="1480"/>
    <s v="Mobile"/>
    <x v="1"/>
    <n v="600"/>
    <x v="1"/>
    <x v="1"/>
    <n v="4440"/>
    <n v="2640"/>
  </r>
  <r>
    <x v="408"/>
    <s v="08-10-2024"/>
    <s v="C105"/>
    <s v="P202"/>
    <x v="1"/>
    <x v="3"/>
    <n v="8"/>
    <n v="1804"/>
    <s v="Printer"/>
    <x v="1"/>
    <n v="1100"/>
    <x v="1"/>
    <x v="1"/>
    <n v="14432"/>
    <n v="5632"/>
  </r>
  <r>
    <x v="409"/>
    <s v="25-05-2024"/>
    <s v="C101"/>
    <s v="P202"/>
    <x v="1"/>
    <x v="3"/>
    <n v="2"/>
    <n v="1356"/>
    <s v="Printer"/>
    <x v="1"/>
    <n v="1100"/>
    <x v="2"/>
    <x v="1"/>
    <n v="2712"/>
    <n v="512"/>
  </r>
  <r>
    <x v="410"/>
    <s v="29-01-2024"/>
    <s v="C101"/>
    <s v="P204"/>
    <x v="3"/>
    <x v="1"/>
    <n v="5"/>
    <n v="810"/>
    <s v="Desk"/>
    <x v="0"/>
    <n v="300"/>
    <x v="2"/>
    <x v="1"/>
    <n v="4050"/>
    <n v="2550"/>
  </r>
  <r>
    <x v="411"/>
    <s v="06-07-2024"/>
    <s v="C104"/>
    <s v="P204"/>
    <x v="1"/>
    <x v="1"/>
    <n v="1"/>
    <n v="1410"/>
    <s v="Desk"/>
    <x v="0"/>
    <n v="300"/>
    <x v="0"/>
    <x v="0"/>
    <n v="1410"/>
    <n v="1110"/>
  </r>
  <r>
    <x v="412"/>
    <s v="30-07-2024"/>
    <s v="C101"/>
    <s v="P205"/>
    <x v="1"/>
    <x v="3"/>
    <n v="1"/>
    <n v="1970"/>
    <s v="Chair"/>
    <x v="0"/>
    <n v="150"/>
    <x v="2"/>
    <x v="1"/>
    <n v="1970"/>
    <n v="1820"/>
  </r>
  <r>
    <x v="413"/>
    <s v="22-12-2024"/>
    <s v="C101"/>
    <s v="P205"/>
    <x v="3"/>
    <x v="1"/>
    <n v="8"/>
    <n v="1395"/>
    <s v="Chair"/>
    <x v="0"/>
    <n v="150"/>
    <x v="2"/>
    <x v="1"/>
    <n v="11160"/>
    <n v="9960"/>
  </r>
  <r>
    <x v="414"/>
    <s v="07-10-2024"/>
    <s v="C102"/>
    <s v="P204"/>
    <x v="0"/>
    <x v="0"/>
    <n v="9"/>
    <n v="927"/>
    <s v="Desk"/>
    <x v="0"/>
    <n v="300"/>
    <x v="4"/>
    <x v="1"/>
    <n v="8343"/>
    <n v="5643"/>
  </r>
  <r>
    <x v="415"/>
    <s v="01-08-2024"/>
    <s v="C103"/>
    <s v="P203"/>
    <x v="0"/>
    <x v="1"/>
    <n v="2"/>
    <n v="1890"/>
    <s v="Mobile"/>
    <x v="1"/>
    <n v="600"/>
    <x v="3"/>
    <x v="0"/>
    <n v="3780"/>
    <n v="2580"/>
  </r>
  <r>
    <x v="416"/>
    <s v="26-06-2024"/>
    <s v="C105"/>
    <s v="P204"/>
    <x v="1"/>
    <x v="0"/>
    <n v="2"/>
    <n v="1965"/>
    <s v="Desk"/>
    <x v="0"/>
    <n v="300"/>
    <x v="1"/>
    <x v="1"/>
    <n v="3930"/>
    <n v="3330"/>
  </r>
  <r>
    <x v="417"/>
    <s v="11-08-2024"/>
    <s v="C102"/>
    <s v="P201"/>
    <x v="1"/>
    <x v="1"/>
    <n v="8"/>
    <n v="969"/>
    <s v="Laptop"/>
    <x v="1"/>
    <n v="900"/>
    <x v="4"/>
    <x v="1"/>
    <n v="7752"/>
    <n v="552"/>
  </r>
  <r>
    <x v="418"/>
    <s v="24-11-2024"/>
    <s v="C104"/>
    <s v="P204"/>
    <x v="1"/>
    <x v="1"/>
    <n v="1"/>
    <n v="910"/>
    <s v="Desk"/>
    <x v="0"/>
    <n v="300"/>
    <x v="0"/>
    <x v="0"/>
    <n v="910"/>
    <n v="610"/>
  </r>
  <r>
    <x v="419"/>
    <s v="27-07-2024"/>
    <s v="C105"/>
    <s v="P203"/>
    <x v="2"/>
    <x v="2"/>
    <n v="4"/>
    <n v="1596"/>
    <s v="Mobile"/>
    <x v="1"/>
    <n v="600"/>
    <x v="1"/>
    <x v="1"/>
    <n v="6384"/>
    <n v="3984"/>
  </r>
  <r>
    <x v="420"/>
    <s v="24-01-2024"/>
    <s v="C104"/>
    <s v="P202"/>
    <x v="3"/>
    <x v="1"/>
    <n v="10"/>
    <n v="1277"/>
    <s v="Printer"/>
    <x v="1"/>
    <n v="1100"/>
    <x v="0"/>
    <x v="0"/>
    <n v="12770"/>
    <n v="1770"/>
  </r>
  <r>
    <x v="421"/>
    <s v="14-07-2024"/>
    <s v="C102"/>
    <s v="P204"/>
    <x v="2"/>
    <x v="2"/>
    <n v="2"/>
    <n v="1391"/>
    <s v="Desk"/>
    <x v="0"/>
    <n v="300"/>
    <x v="4"/>
    <x v="1"/>
    <n v="2782"/>
    <n v="2182"/>
  </r>
  <r>
    <x v="422"/>
    <s v="07-04-2024"/>
    <s v="C103"/>
    <s v="P201"/>
    <x v="1"/>
    <x v="3"/>
    <n v="10"/>
    <n v="1142"/>
    <s v="Laptop"/>
    <x v="1"/>
    <n v="900"/>
    <x v="3"/>
    <x v="0"/>
    <n v="11420"/>
    <n v="2420"/>
  </r>
  <r>
    <x v="423"/>
    <s v="07-11-2024"/>
    <s v="C101"/>
    <s v="P205"/>
    <x v="0"/>
    <x v="1"/>
    <n v="2"/>
    <n v="883"/>
    <s v="Chair"/>
    <x v="0"/>
    <n v="150"/>
    <x v="2"/>
    <x v="1"/>
    <n v="1766"/>
    <n v="1466"/>
  </r>
  <r>
    <x v="424"/>
    <s v="26-12-2024"/>
    <s v="C103"/>
    <s v="P202"/>
    <x v="0"/>
    <x v="0"/>
    <n v="5"/>
    <n v="803"/>
    <s v="Printer"/>
    <x v="1"/>
    <n v="1100"/>
    <x v="3"/>
    <x v="0"/>
    <n v="4015"/>
    <n v="-1485"/>
  </r>
  <r>
    <x v="425"/>
    <s v="22-02-2024"/>
    <s v="C102"/>
    <s v="P202"/>
    <x v="2"/>
    <x v="1"/>
    <n v="3"/>
    <n v="829"/>
    <s v="Printer"/>
    <x v="1"/>
    <n v="1100"/>
    <x v="4"/>
    <x v="1"/>
    <n v="2487"/>
    <n v="-813"/>
  </r>
  <r>
    <x v="426"/>
    <s v="12-09-2024"/>
    <s v="C103"/>
    <s v="P204"/>
    <x v="3"/>
    <x v="2"/>
    <n v="8"/>
    <n v="1676"/>
    <s v="Desk"/>
    <x v="0"/>
    <n v="300"/>
    <x v="3"/>
    <x v="0"/>
    <n v="13408"/>
    <n v="11008"/>
  </r>
  <r>
    <x v="427"/>
    <s v="26-09-2024"/>
    <s v="C104"/>
    <s v="P205"/>
    <x v="1"/>
    <x v="3"/>
    <n v="3"/>
    <n v="1083"/>
    <s v="Chair"/>
    <x v="0"/>
    <n v="150"/>
    <x v="0"/>
    <x v="0"/>
    <n v="3249"/>
    <n v="2799"/>
  </r>
  <r>
    <x v="428"/>
    <s v="12-06-2024"/>
    <s v="C102"/>
    <s v="P204"/>
    <x v="1"/>
    <x v="1"/>
    <n v="6"/>
    <n v="1391"/>
    <s v="Desk"/>
    <x v="0"/>
    <n v="300"/>
    <x v="4"/>
    <x v="1"/>
    <n v="8346"/>
    <n v="6546"/>
  </r>
  <r>
    <x v="429"/>
    <s v="02-07-2024"/>
    <s v="C104"/>
    <s v="P205"/>
    <x v="2"/>
    <x v="1"/>
    <n v="1"/>
    <n v="1225"/>
    <s v="Chair"/>
    <x v="0"/>
    <n v="150"/>
    <x v="0"/>
    <x v="0"/>
    <n v="1225"/>
    <n v="1075"/>
  </r>
  <r>
    <x v="430"/>
    <s v="20-08-2024"/>
    <s v="C104"/>
    <s v="P205"/>
    <x v="3"/>
    <x v="2"/>
    <n v="3"/>
    <n v="1641"/>
    <s v="Chair"/>
    <x v="0"/>
    <n v="150"/>
    <x v="0"/>
    <x v="0"/>
    <n v="4923"/>
    <n v="4473"/>
  </r>
  <r>
    <x v="431"/>
    <s v="28-12-2024"/>
    <s v="C101"/>
    <s v="P202"/>
    <x v="2"/>
    <x v="0"/>
    <n v="10"/>
    <n v="1844"/>
    <s v="Printer"/>
    <x v="1"/>
    <n v="1100"/>
    <x v="2"/>
    <x v="1"/>
    <n v="18440"/>
    <n v="7440"/>
  </r>
  <r>
    <x v="432"/>
    <s v="17-10-2024"/>
    <s v="C102"/>
    <s v="P205"/>
    <x v="1"/>
    <x v="1"/>
    <n v="2"/>
    <n v="1904"/>
    <s v="Chair"/>
    <x v="0"/>
    <n v="150"/>
    <x v="4"/>
    <x v="1"/>
    <n v="3808"/>
    <n v="3508"/>
  </r>
  <r>
    <x v="433"/>
    <s v="12-06-2024"/>
    <s v="C104"/>
    <s v="P205"/>
    <x v="3"/>
    <x v="1"/>
    <n v="2"/>
    <n v="826"/>
    <s v="Chair"/>
    <x v="0"/>
    <n v="150"/>
    <x v="0"/>
    <x v="0"/>
    <n v="1652"/>
    <n v="1352"/>
  </r>
  <r>
    <x v="434"/>
    <s v="11-01-2024"/>
    <s v="C101"/>
    <s v="P205"/>
    <x v="3"/>
    <x v="1"/>
    <n v="1"/>
    <n v="1969"/>
    <s v="Chair"/>
    <x v="0"/>
    <n v="150"/>
    <x v="2"/>
    <x v="1"/>
    <n v="1969"/>
    <n v="1819"/>
  </r>
  <r>
    <x v="435"/>
    <s v="03-05-2024"/>
    <s v="C102"/>
    <s v="P204"/>
    <x v="2"/>
    <x v="1"/>
    <n v="5"/>
    <n v="1849"/>
    <s v="Desk"/>
    <x v="0"/>
    <n v="300"/>
    <x v="4"/>
    <x v="1"/>
    <n v="9245"/>
    <n v="7745"/>
  </r>
  <r>
    <x v="436"/>
    <s v="17-08-2024"/>
    <s v="C101"/>
    <s v="P202"/>
    <x v="2"/>
    <x v="3"/>
    <n v="9"/>
    <n v="841"/>
    <s v="Printer"/>
    <x v="1"/>
    <n v="1100"/>
    <x v="2"/>
    <x v="1"/>
    <n v="7569"/>
    <n v="-2331"/>
  </r>
  <r>
    <x v="437"/>
    <s v="07-08-2024"/>
    <s v="C105"/>
    <s v="P205"/>
    <x v="1"/>
    <x v="1"/>
    <n v="7"/>
    <n v="1317"/>
    <s v="Chair"/>
    <x v="0"/>
    <n v="150"/>
    <x v="1"/>
    <x v="1"/>
    <n v="9219"/>
    <n v="8169"/>
  </r>
  <r>
    <x v="438"/>
    <s v="19-10-2024"/>
    <s v="C104"/>
    <s v="P202"/>
    <x v="2"/>
    <x v="3"/>
    <n v="1"/>
    <n v="1776"/>
    <s v="Printer"/>
    <x v="1"/>
    <n v="1100"/>
    <x v="0"/>
    <x v="0"/>
    <n v="1776"/>
    <n v="676"/>
  </r>
  <r>
    <x v="439"/>
    <s v="11-12-2024"/>
    <s v="C103"/>
    <s v="P201"/>
    <x v="3"/>
    <x v="2"/>
    <n v="8"/>
    <n v="921"/>
    <s v="Laptop"/>
    <x v="1"/>
    <n v="900"/>
    <x v="3"/>
    <x v="0"/>
    <n v="7368"/>
    <n v="168"/>
  </r>
  <r>
    <x v="440"/>
    <s v="25-05-2024"/>
    <s v="C101"/>
    <s v="P204"/>
    <x v="1"/>
    <x v="3"/>
    <n v="5"/>
    <n v="1203"/>
    <s v="Desk"/>
    <x v="0"/>
    <n v="300"/>
    <x v="2"/>
    <x v="1"/>
    <n v="6015"/>
    <n v="4515"/>
  </r>
  <r>
    <x v="441"/>
    <s v="01-03-2024"/>
    <s v="C104"/>
    <s v="P204"/>
    <x v="0"/>
    <x v="1"/>
    <n v="2"/>
    <n v="961"/>
    <s v="Desk"/>
    <x v="0"/>
    <n v="300"/>
    <x v="0"/>
    <x v="0"/>
    <n v="1922"/>
    <n v="1322"/>
  </r>
  <r>
    <x v="442"/>
    <s v="14-11-2024"/>
    <s v="C103"/>
    <s v="P205"/>
    <x v="2"/>
    <x v="3"/>
    <n v="7"/>
    <n v="1891"/>
    <s v="Chair"/>
    <x v="0"/>
    <n v="150"/>
    <x v="3"/>
    <x v="0"/>
    <n v="13237"/>
    <n v="12187"/>
  </r>
  <r>
    <x v="443"/>
    <s v="16-02-2024"/>
    <s v="C105"/>
    <s v="P201"/>
    <x v="0"/>
    <x v="0"/>
    <n v="7"/>
    <n v="1776"/>
    <s v="Laptop"/>
    <x v="1"/>
    <n v="900"/>
    <x v="1"/>
    <x v="1"/>
    <n v="12432"/>
    <n v="6132"/>
  </r>
  <r>
    <x v="444"/>
    <s v="17-10-2024"/>
    <s v="C105"/>
    <s v="P203"/>
    <x v="1"/>
    <x v="2"/>
    <n v="10"/>
    <n v="1956"/>
    <s v="Mobile"/>
    <x v="1"/>
    <n v="600"/>
    <x v="1"/>
    <x v="1"/>
    <n v="19560"/>
    <n v="13560"/>
  </r>
  <r>
    <x v="445"/>
    <s v="12-02-2024"/>
    <s v="C101"/>
    <s v="P201"/>
    <x v="1"/>
    <x v="2"/>
    <n v="8"/>
    <n v="1008"/>
    <s v="Laptop"/>
    <x v="1"/>
    <n v="900"/>
    <x v="2"/>
    <x v="1"/>
    <n v="8064"/>
    <n v="864"/>
  </r>
  <r>
    <x v="446"/>
    <s v="23-09-2024"/>
    <s v="C105"/>
    <s v="P204"/>
    <x v="2"/>
    <x v="2"/>
    <n v="7"/>
    <n v="1325"/>
    <s v="Desk"/>
    <x v="0"/>
    <n v="300"/>
    <x v="1"/>
    <x v="1"/>
    <n v="9275"/>
    <n v="7175"/>
  </r>
  <r>
    <x v="447"/>
    <s v="27-07-2024"/>
    <s v="C103"/>
    <s v="P205"/>
    <x v="1"/>
    <x v="3"/>
    <n v="3"/>
    <n v="1137"/>
    <s v="Chair"/>
    <x v="0"/>
    <n v="150"/>
    <x v="3"/>
    <x v="0"/>
    <n v="3411"/>
    <n v="2961"/>
  </r>
  <r>
    <x v="448"/>
    <s v="26-03-2024"/>
    <s v="C103"/>
    <s v="P202"/>
    <x v="2"/>
    <x v="0"/>
    <n v="5"/>
    <n v="921"/>
    <s v="Printer"/>
    <x v="1"/>
    <n v="1100"/>
    <x v="3"/>
    <x v="0"/>
    <n v="4605"/>
    <n v="-895"/>
  </r>
  <r>
    <x v="449"/>
    <s v="06-04-2024"/>
    <s v="C105"/>
    <s v="P205"/>
    <x v="3"/>
    <x v="0"/>
    <n v="4"/>
    <n v="1025"/>
    <s v="Chair"/>
    <x v="0"/>
    <n v="150"/>
    <x v="1"/>
    <x v="1"/>
    <n v="4100"/>
    <n v="3500"/>
  </r>
  <r>
    <x v="450"/>
    <s v="07-02-2024"/>
    <s v="C102"/>
    <s v="P203"/>
    <x v="3"/>
    <x v="2"/>
    <n v="2"/>
    <n v="1909"/>
    <s v="Mobile"/>
    <x v="1"/>
    <n v="600"/>
    <x v="4"/>
    <x v="1"/>
    <n v="3818"/>
    <n v="2618"/>
  </r>
  <r>
    <x v="451"/>
    <s v="14-04-2024"/>
    <s v="C104"/>
    <s v="P204"/>
    <x v="1"/>
    <x v="3"/>
    <n v="5"/>
    <n v="1790"/>
    <s v="Desk"/>
    <x v="0"/>
    <n v="300"/>
    <x v="0"/>
    <x v="0"/>
    <n v="8950"/>
    <n v="7450"/>
  </r>
  <r>
    <x v="452"/>
    <s v="20-06-2024"/>
    <s v="C101"/>
    <s v="P203"/>
    <x v="3"/>
    <x v="3"/>
    <n v="5"/>
    <n v="1477"/>
    <s v="Mobile"/>
    <x v="1"/>
    <n v="600"/>
    <x v="2"/>
    <x v="1"/>
    <n v="7385"/>
    <n v="4385"/>
  </r>
  <r>
    <x v="453"/>
    <s v="27-04-2024"/>
    <s v="C102"/>
    <s v="P203"/>
    <x v="0"/>
    <x v="0"/>
    <n v="4"/>
    <n v="1888"/>
    <s v="Mobile"/>
    <x v="1"/>
    <n v="600"/>
    <x v="4"/>
    <x v="1"/>
    <n v="7552"/>
    <n v="5152"/>
  </r>
  <r>
    <x v="454"/>
    <s v="08-02-2024"/>
    <s v="C104"/>
    <s v="P202"/>
    <x v="1"/>
    <x v="3"/>
    <n v="7"/>
    <n v="1514"/>
    <s v="Printer"/>
    <x v="1"/>
    <n v="1100"/>
    <x v="0"/>
    <x v="0"/>
    <n v="10598"/>
    <n v="2898"/>
  </r>
  <r>
    <x v="455"/>
    <s v="11-10-2024"/>
    <s v="C105"/>
    <s v="P205"/>
    <x v="0"/>
    <x v="1"/>
    <n v="5"/>
    <n v="1908"/>
    <s v="Chair"/>
    <x v="0"/>
    <n v="150"/>
    <x v="1"/>
    <x v="1"/>
    <n v="9540"/>
    <n v="8790"/>
  </r>
  <r>
    <x v="456"/>
    <s v="26-11-2024"/>
    <s v="C103"/>
    <s v="P203"/>
    <x v="0"/>
    <x v="2"/>
    <n v="5"/>
    <n v="911"/>
    <s v="Mobile"/>
    <x v="1"/>
    <n v="600"/>
    <x v="3"/>
    <x v="0"/>
    <n v="4555"/>
    <n v="1555"/>
  </r>
  <r>
    <x v="457"/>
    <s v="16-03-2024"/>
    <s v="C101"/>
    <s v="P204"/>
    <x v="2"/>
    <x v="0"/>
    <n v="2"/>
    <n v="1688"/>
    <s v="Desk"/>
    <x v="0"/>
    <n v="300"/>
    <x v="2"/>
    <x v="1"/>
    <n v="3376"/>
    <n v="2776"/>
  </r>
  <r>
    <x v="458"/>
    <s v="23-10-2024"/>
    <s v="C104"/>
    <s v="P203"/>
    <x v="2"/>
    <x v="3"/>
    <n v="9"/>
    <n v="1796"/>
    <s v="Mobile"/>
    <x v="1"/>
    <n v="600"/>
    <x v="0"/>
    <x v="0"/>
    <n v="16164"/>
    <n v="10764"/>
  </r>
  <r>
    <x v="459"/>
    <s v="09-06-2024"/>
    <s v="C102"/>
    <s v="P203"/>
    <x v="0"/>
    <x v="0"/>
    <n v="9"/>
    <n v="1426"/>
    <s v="Mobile"/>
    <x v="1"/>
    <n v="600"/>
    <x v="4"/>
    <x v="1"/>
    <n v="12834"/>
    <n v="7434"/>
  </r>
  <r>
    <x v="460"/>
    <s v="26-05-2024"/>
    <s v="C101"/>
    <s v="P204"/>
    <x v="1"/>
    <x v="0"/>
    <n v="7"/>
    <n v="801"/>
    <s v="Desk"/>
    <x v="0"/>
    <n v="300"/>
    <x v="2"/>
    <x v="1"/>
    <n v="5607"/>
    <n v="3507"/>
  </r>
  <r>
    <x v="461"/>
    <s v="26-04-2024"/>
    <s v="C103"/>
    <s v="P202"/>
    <x v="1"/>
    <x v="2"/>
    <n v="3"/>
    <n v="1623"/>
    <s v="Printer"/>
    <x v="1"/>
    <n v="1100"/>
    <x v="3"/>
    <x v="0"/>
    <n v="4869"/>
    <n v="1569"/>
  </r>
  <r>
    <x v="462"/>
    <s v="22-02-2024"/>
    <s v="C105"/>
    <s v="P205"/>
    <x v="2"/>
    <x v="3"/>
    <n v="8"/>
    <n v="1447"/>
    <s v="Chair"/>
    <x v="0"/>
    <n v="150"/>
    <x v="1"/>
    <x v="1"/>
    <n v="11576"/>
    <n v="10376"/>
  </r>
  <r>
    <x v="463"/>
    <s v="02-04-2024"/>
    <s v="C101"/>
    <s v="P204"/>
    <x v="2"/>
    <x v="0"/>
    <n v="10"/>
    <n v="1530"/>
    <s v="Desk"/>
    <x v="0"/>
    <n v="300"/>
    <x v="2"/>
    <x v="1"/>
    <n v="15300"/>
    <n v="12300"/>
  </r>
  <r>
    <x v="464"/>
    <s v="14-07-2024"/>
    <s v="C104"/>
    <s v="P205"/>
    <x v="0"/>
    <x v="1"/>
    <n v="8"/>
    <n v="1559"/>
    <s v="Chair"/>
    <x v="0"/>
    <n v="150"/>
    <x v="0"/>
    <x v="0"/>
    <n v="12472"/>
    <n v="11272"/>
  </r>
  <r>
    <x v="465"/>
    <s v="17-12-2024"/>
    <s v="C102"/>
    <s v="P203"/>
    <x v="0"/>
    <x v="1"/>
    <n v="1"/>
    <n v="1350"/>
    <s v="Mobile"/>
    <x v="1"/>
    <n v="600"/>
    <x v="4"/>
    <x v="1"/>
    <n v="1350"/>
    <n v="750"/>
  </r>
  <r>
    <x v="466"/>
    <s v="06-05-2024"/>
    <s v="C104"/>
    <s v="P204"/>
    <x v="0"/>
    <x v="2"/>
    <n v="5"/>
    <n v="1636"/>
    <s v="Desk"/>
    <x v="0"/>
    <n v="300"/>
    <x v="0"/>
    <x v="0"/>
    <n v="8180"/>
    <n v="6680"/>
  </r>
  <r>
    <x v="467"/>
    <s v="22-08-2024"/>
    <s v="C102"/>
    <s v="P204"/>
    <x v="2"/>
    <x v="2"/>
    <n v="3"/>
    <n v="1120"/>
    <s v="Desk"/>
    <x v="0"/>
    <n v="300"/>
    <x v="4"/>
    <x v="1"/>
    <n v="3360"/>
    <n v="2460"/>
  </r>
  <r>
    <x v="468"/>
    <s v="12-05-2024"/>
    <s v="C103"/>
    <s v="P204"/>
    <x v="1"/>
    <x v="1"/>
    <n v="4"/>
    <n v="867"/>
    <s v="Desk"/>
    <x v="0"/>
    <n v="300"/>
    <x v="3"/>
    <x v="0"/>
    <n v="3468"/>
    <n v="2268"/>
  </r>
  <r>
    <x v="469"/>
    <s v="19-03-2024"/>
    <s v="C104"/>
    <s v="P201"/>
    <x v="3"/>
    <x v="0"/>
    <n v="8"/>
    <n v="1958"/>
    <s v="Laptop"/>
    <x v="1"/>
    <n v="900"/>
    <x v="0"/>
    <x v="0"/>
    <n v="15664"/>
    <n v="8464"/>
  </r>
  <r>
    <x v="470"/>
    <s v="02-03-2024"/>
    <s v="C101"/>
    <s v="P202"/>
    <x v="3"/>
    <x v="3"/>
    <n v="1"/>
    <n v="1650"/>
    <s v="Printer"/>
    <x v="1"/>
    <n v="1100"/>
    <x v="2"/>
    <x v="1"/>
    <n v="1650"/>
    <n v="550"/>
  </r>
  <r>
    <x v="471"/>
    <s v="05-01-2024"/>
    <s v="C101"/>
    <s v="P202"/>
    <x v="3"/>
    <x v="3"/>
    <n v="4"/>
    <n v="1660"/>
    <s v="Printer"/>
    <x v="1"/>
    <n v="1100"/>
    <x v="2"/>
    <x v="1"/>
    <n v="6640"/>
    <n v="2240"/>
  </r>
  <r>
    <x v="472"/>
    <s v="13-05-2024"/>
    <s v="C104"/>
    <s v="P201"/>
    <x v="2"/>
    <x v="2"/>
    <n v="2"/>
    <n v="1922"/>
    <s v="Laptop"/>
    <x v="1"/>
    <n v="900"/>
    <x v="0"/>
    <x v="0"/>
    <n v="3844"/>
    <n v="2044"/>
  </r>
  <r>
    <x v="473"/>
    <s v="26-10-2024"/>
    <s v="C102"/>
    <s v="P205"/>
    <x v="1"/>
    <x v="2"/>
    <n v="6"/>
    <n v="1583"/>
    <s v="Chair"/>
    <x v="0"/>
    <n v="150"/>
    <x v="4"/>
    <x v="1"/>
    <n v="9498"/>
    <n v="8598"/>
  </r>
  <r>
    <x v="474"/>
    <s v="11-11-2024"/>
    <s v="C105"/>
    <s v="P201"/>
    <x v="0"/>
    <x v="0"/>
    <n v="3"/>
    <n v="1200"/>
    <s v="Laptop"/>
    <x v="1"/>
    <n v="900"/>
    <x v="1"/>
    <x v="1"/>
    <n v="3600"/>
    <n v="900"/>
  </r>
  <r>
    <x v="475"/>
    <s v="02-10-2024"/>
    <s v="C101"/>
    <s v="P201"/>
    <x v="0"/>
    <x v="2"/>
    <n v="4"/>
    <n v="981"/>
    <s v="Laptop"/>
    <x v="1"/>
    <n v="900"/>
    <x v="2"/>
    <x v="1"/>
    <n v="3924"/>
    <n v="324"/>
  </r>
  <r>
    <x v="476"/>
    <s v="30-06-2024"/>
    <s v="C104"/>
    <s v="P205"/>
    <x v="0"/>
    <x v="0"/>
    <n v="6"/>
    <n v="1848"/>
    <s v="Chair"/>
    <x v="0"/>
    <n v="150"/>
    <x v="0"/>
    <x v="0"/>
    <n v="11088"/>
    <n v="10188"/>
  </r>
  <r>
    <x v="477"/>
    <s v="25-06-2024"/>
    <s v="C103"/>
    <s v="P203"/>
    <x v="0"/>
    <x v="3"/>
    <n v="2"/>
    <n v="1076"/>
    <s v="Mobile"/>
    <x v="1"/>
    <n v="600"/>
    <x v="3"/>
    <x v="0"/>
    <n v="2152"/>
    <n v="952"/>
  </r>
  <r>
    <x v="478"/>
    <s v="22-06-2024"/>
    <s v="C102"/>
    <s v="P203"/>
    <x v="2"/>
    <x v="2"/>
    <n v="3"/>
    <n v="1497"/>
    <s v="Mobile"/>
    <x v="1"/>
    <n v="600"/>
    <x v="4"/>
    <x v="1"/>
    <n v="4491"/>
    <n v="2691"/>
  </r>
  <r>
    <x v="479"/>
    <s v="02-04-2024"/>
    <s v="C103"/>
    <s v="P205"/>
    <x v="2"/>
    <x v="1"/>
    <n v="4"/>
    <n v="1898"/>
    <s v="Chair"/>
    <x v="0"/>
    <n v="150"/>
    <x v="3"/>
    <x v="0"/>
    <n v="7592"/>
    <n v="6992"/>
  </r>
  <r>
    <x v="480"/>
    <s v="25-02-2024"/>
    <s v="C103"/>
    <s v="P203"/>
    <x v="0"/>
    <x v="3"/>
    <n v="4"/>
    <n v="966"/>
    <s v="Mobile"/>
    <x v="1"/>
    <n v="600"/>
    <x v="3"/>
    <x v="0"/>
    <n v="3864"/>
    <n v="1464"/>
  </r>
  <r>
    <x v="481"/>
    <s v="14-03-2024"/>
    <s v="C101"/>
    <s v="P202"/>
    <x v="3"/>
    <x v="2"/>
    <n v="8"/>
    <n v="805"/>
    <s v="Printer"/>
    <x v="1"/>
    <n v="1100"/>
    <x v="2"/>
    <x v="1"/>
    <n v="6440"/>
    <n v="-2360"/>
  </r>
  <r>
    <x v="482"/>
    <s v="25-08-2024"/>
    <s v="C103"/>
    <s v="P204"/>
    <x v="2"/>
    <x v="1"/>
    <n v="1"/>
    <n v="819"/>
    <s v="Desk"/>
    <x v="0"/>
    <n v="300"/>
    <x v="3"/>
    <x v="0"/>
    <n v="819"/>
    <n v="519"/>
  </r>
  <r>
    <x v="483"/>
    <s v="17-04-2024"/>
    <s v="C103"/>
    <s v="P204"/>
    <x v="2"/>
    <x v="1"/>
    <n v="2"/>
    <n v="1294"/>
    <s v="Desk"/>
    <x v="0"/>
    <n v="300"/>
    <x v="3"/>
    <x v="0"/>
    <n v="2588"/>
    <n v="1988"/>
  </r>
  <r>
    <x v="484"/>
    <s v="12-01-2024"/>
    <s v="C102"/>
    <s v="P201"/>
    <x v="3"/>
    <x v="2"/>
    <n v="6"/>
    <n v="1100"/>
    <s v="Laptop"/>
    <x v="1"/>
    <n v="900"/>
    <x v="4"/>
    <x v="1"/>
    <n v="6600"/>
    <n v="1200"/>
  </r>
  <r>
    <x v="485"/>
    <s v="16-01-2024"/>
    <s v="C104"/>
    <s v="P202"/>
    <x v="0"/>
    <x v="3"/>
    <n v="2"/>
    <n v="1258"/>
    <s v="Printer"/>
    <x v="1"/>
    <n v="1100"/>
    <x v="0"/>
    <x v="0"/>
    <n v="2516"/>
    <n v="316"/>
  </r>
  <r>
    <x v="486"/>
    <s v="13-06-2024"/>
    <s v="C102"/>
    <s v="P203"/>
    <x v="1"/>
    <x v="1"/>
    <n v="10"/>
    <n v="1742"/>
    <s v="Mobile"/>
    <x v="1"/>
    <n v="600"/>
    <x v="4"/>
    <x v="1"/>
    <n v="17420"/>
    <n v="11420"/>
  </r>
  <r>
    <x v="487"/>
    <s v="18-08-2024"/>
    <s v="C102"/>
    <s v="P202"/>
    <x v="3"/>
    <x v="2"/>
    <n v="5"/>
    <n v="1213"/>
    <s v="Printer"/>
    <x v="1"/>
    <n v="1100"/>
    <x v="4"/>
    <x v="1"/>
    <n v="6065"/>
    <n v="565"/>
  </r>
  <r>
    <x v="488"/>
    <s v="20-01-2024"/>
    <s v="C103"/>
    <s v="P204"/>
    <x v="0"/>
    <x v="0"/>
    <n v="5"/>
    <n v="1741"/>
    <s v="Desk"/>
    <x v="0"/>
    <n v="300"/>
    <x v="3"/>
    <x v="0"/>
    <n v="8705"/>
    <n v="7205"/>
  </r>
  <r>
    <x v="489"/>
    <s v="04-12-2024"/>
    <s v="C103"/>
    <s v="P204"/>
    <x v="3"/>
    <x v="1"/>
    <n v="2"/>
    <n v="1506"/>
    <s v="Desk"/>
    <x v="0"/>
    <n v="300"/>
    <x v="3"/>
    <x v="0"/>
    <n v="3012"/>
    <n v="2412"/>
  </r>
  <r>
    <x v="490"/>
    <s v="09-03-2024"/>
    <s v="C103"/>
    <s v="P201"/>
    <x v="0"/>
    <x v="0"/>
    <n v="7"/>
    <n v="1330"/>
    <s v="Laptop"/>
    <x v="1"/>
    <n v="900"/>
    <x v="3"/>
    <x v="0"/>
    <n v="9310"/>
    <n v="3010"/>
  </r>
  <r>
    <x v="491"/>
    <s v="12-05-2024"/>
    <s v="C103"/>
    <s v="P205"/>
    <x v="2"/>
    <x v="2"/>
    <n v="3"/>
    <n v="1813"/>
    <s v="Chair"/>
    <x v="0"/>
    <n v="150"/>
    <x v="3"/>
    <x v="0"/>
    <n v="5439"/>
    <n v="4989"/>
  </r>
  <r>
    <x v="492"/>
    <s v="15-04-2024"/>
    <s v="C104"/>
    <s v="P201"/>
    <x v="0"/>
    <x v="0"/>
    <n v="2"/>
    <n v="1774"/>
    <s v="Laptop"/>
    <x v="1"/>
    <n v="900"/>
    <x v="0"/>
    <x v="0"/>
    <n v="3548"/>
    <n v="1748"/>
  </r>
  <r>
    <x v="493"/>
    <s v="15-08-2024"/>
    <s v="C102"/>
    <s v="P205"/>
    <x v="0"/>
    <x v="1"/>
    <n v="3"/>
    <n v="1770"/>
    <s v="Chair"/>
    <x v="0"/>
    <n v="150"/>
    <x v="4"/>
    <x v="1"/>
    <n v="5310"/>
    <n v="4860"/>
  </r>
  <r>
    <x v="494"/>
    <s v="30-10-2024"/>
    <s v="C105"/>
    <s v="P201"/>
    <x v="3"/>
    <x v="2"/>
    <n v="1"/>
    <n v="1322"/>
    <s v="Laptop"/>
    <x v="1"/>
    <n v="900"/>
    <x v="1"/>
    <x v="1"/>
    <n v="1322"/>
    <n v="422"/>
  </r>
  <r>
    <x v="495"/>
    <s v="01-05-2024"/>
    <s v="C102"/>
    <s v="P205"/>
    <x v="0"/>
    <x v="1"/>
    <n v="5"/>
    <n v="1944"/>
    <s v="Chair"/>
    <x v="0"/>
    <n v="150"/>
    <x v="4"/>
    <x v="1"/>
    <n v="9720"/>
    <n v="8970"/>
  </r>
  <r>
    <x v="496"/>
    <s v="30-03-2024"/>
    <s v="C104"/>
    <s v="P205"/>
    <x v="0"/>
    <x v="0"/>
    <n v="8"/>
    <n v="1852"/>
    <s v="Chair"/>
    <x v="0"/>
    <n v="150"/>
    <x v="0"/>
    <x v="0"/>
    <n v="14816"/>
    <n v="13616"/>
  </r>
  <r>
    <x v="497"/>
    <s v="28-08-2024"/>
    <s v="C101"/>
    <s v="P202"/>
    <x v="0"/>
    <x v="2"/>
    <n v="7"/>
    <n v="1920"/>
    <s v="Printer"/>
    <x v="1"/>
    <n v="1100"/>
    <x v="2"/>
    <x v="1"/>
    <n v="13440"/>
    <n v="5740"/>
  </r>
  <r>
    <x v="498"/>
    <s v="04-07-2024"/>
    <s v="C102"/>
    <s v="P204"/>
    <x v="3"/>
    <x v="3"/>
    <n v="2"/>
    <n v="1276"/>
    <s v="Desk"/>
    <x v="0"/>
    <n v="300"/>
    <x v="4"/>
    <x v="1"/>
    <n v="2552"/>
    <n v="1952"/>
  </r>
  <r>
    <x v="499"/>
    <s v="27-10-2024"/>
    <s v="C104"/>
    <s v="P201"/>
    <x v="3"/>
    <x v="3"/>
    <n v="5"/>
    <n v="1563"/>
    <s v="Laptop"/>
    <x v="1"/>
    <n v="900"/>
    <x v="0"/>
    <x v="0"/>
    <n v="7815"/>
    <n v="3315"/>
  </r>
  <r>
    <x v="500"/>
    <s v="22-03-2024"/>
    <s v="C104"/>
    <s v="P204"/>
    <x v="2"/>
    <x v="1"/>
    <n v="10"/>
    <n v="1878"/>
    <s v="Desk"/>
    <x v="0"/>
    <n v="300"/>
    <x v="0"/>
    <x v="0"/>
    <n v="18780"/>
    <n v="15780"/>
  </r>
  <r>
    <x v="501"/>
    <s v="12-09-2024"/>
    <s v="C103"/>
    <s v="P201"/>
    <x v="1"/>
    <x v="2"/>
    <n v="4"/>
    <n v="1170"/>
    <s v="Laptop"/>
    <x v="1"/>
    <n v="900"/>
    <x v="3"/>
    <x v="0"/>
    <n v="4680"/>
    <n v="1080"/>
  </r>
  <r>
    <x v="502"/>
    <s v="17-11-2024"/>
    <s v="C101"/>
    <s v="P203"/>
    <x v="3"/>
    <x v="1"/>
    <n v="7"/>
    <n v="1052"/>
    <s v="Mobile"/>
    <x v="1"/>
    <n v="600"/>
    <x v="2"/>
    <x v="1"/>
    <n v="7364"/>
    <n v="3164"/>
  </r>
  <r>
    <x v="503"/>
    <s v="18-03-2024"/>
    <s v="C105"/>
    <s v="P204"/>
    <x v="1"/>
    <x v="3"/>
    <n v="8"/>
    <n v="1304"/>
    <s v="Desk"/>
    <x v="0"/>
    <n v="300"/>
    <x v="1"/>
    <x v="1"/>
    <n v="10432"/>
    <n v="8032"/>
  </r>
  <r>
    <x v="504"/>
    <s v="19-05-2024"/>
    <s v="C101"/>
    <s v="P202"/>
    <x v="1"/>
    <x v="0"/>
    <n v="3"/>
    <n v="1382"/>
    <s v="Printer"/>
    <x v="1"/>
    <n v="1100"/>
    <x v="2"/>
    <x v="1"/>
    <n v="4146"/>
    <n v="846"/>
  </r>
  <r>
    <x v="505"/>
    <s v="13-10-2024"/>
    <s v="C103"/>
    <s v="P201"/>
    <x v="3"/>
    <x v="1"/>
    <n v="10"/>
    <n v="1170"/>
    <s v="Laptop"/>
    <x v="1"/>
    <n v="900"/>
    <x v="3"/>
    <x v="0"/>
    <n v="11700"/>
    <n v="2700"/>
  </r>
  <r>
    <x v="506"/>
    <s v="16-08-2024"/>
    <s v="C102"/>
    <s v="P201"/>
    <x v="2"/>
    <x v="0"/>
    <n v="1"/>
    <n v="1665"/>
    <s v="Laptop"/>
    <x v="1"/>
    <n v="900"/>
    <x v="4"/>
    <x v="1"/>
    <n v="1665"/>
    <n v="765"/>
  </r>
  <r>
    <x v="507"/>
    <s v="02-03-2024"/>
    <s v="C105"/>
    <s v="P202"/>
    <x v="3"/>
    <x v="0"/>
    <n v="1"/>
    <n v="1281"/>
    <s v="Printer"/>
    <x v="1"/>
    <n v="1100"/>
    <x v="1"/>
    <x v="1"/>
    <n v="1281"/>
    <n v="181"/>
  </r>
  <r>
    <x v="508"/>
    <s v="17-04-2024"/>
    <s v="C105"/>
    <s v="P203"/>
    <x v="3"/>
    <x v="2"/>
    <n v="10"/>
    <n v="1820"/>
    <s v="Mobile"/>
    <x v="1"/>
    <n v="600"/>
    <x v="1"/>
    <x v="1"/>
    <n v="18200"/>
    <n v="12200"/>
  </r>
  <r>
    <x v="509"/>
    <s v="20-08-2024"/>
    <s v="C102"/>
    <s v="P202"/>
    <x v="1"/>
    <x v="3"/>
    <n v="3"/>
    <n v="1810"/>
    <s v="Printer"/>
    <x v="1"/>
    <n v="1100"/>
    <x v="4"/>
    <x v="1"/>
    <n v="5430"/>
    <n v="2130"/>
  </r>
  <r>
    <x v="510"/>
    <s v="18-06-2024"/>
    <s v="C103"/>
    <s v="P204"/>
    <x v="3"/>
    <x v="1"/>
    <n v="10"/>
    <n v="1560"/>
    <s v="Desk"/>
    <x v="0"/>
    <n v="300"/>
    <x v="3"/>
    <x v="0"/>
    <n v="15600"/>
    <n v="12600"/>
  </r>
  <r>
    <x v="511"/>
    <s v="14-06-2024"/>
    <s v="C101"/>
    <s v="P201"/>
    <x v="3"/>
    <x v="3"/>
    <n v="2"/>
    <n v="1642"/>
    <s v="Laptop"/>
    <x v="1"/>
    <n v="900"/>
    <x v="2"/>
    <x v="1"/>
    <n v="3284"/>
    <n v="1484"/>
  </r>
  <r>
    <x v="512"/>
    <s v="29-08-2024"/>
    <s v="C101"/>
    <s v="P205"/>
    <x v="0"/>
    <x v="1"/>
    <n v="8"/>
    <n v="1132"/>
    <s v="Chair"/>
    <x v="0"/>
    <n v="150"/>
    <x v="2"/>
    <x v="1"/>
    <n v="9056"/>
    <n v="7856"/>
  </r>
  <r>
    <x v="513"/>
    <s v="23-03-2024"/>
    <s v="C104"/>
    <s v="P201"/>
    <x v="0"/>
    <x v="2"/>
    <n v="3"/>
    <n v="1711"/>
    <s v="Laptop"/>
    <x v="1"/>
    <n v="900"/>
    <x v="0"/>
    <x v="0"/>
    <n v="5133"/>
    <n v="2433"/>
  </r>
  <r>
    <x v="514"/>
    <s v="25-05-2024"/>
    <s v="C104"/>
    <s v="P204"/>
    <x v="1"/>
    <x v="0"/>
    <n v="4"/>
    <n v="1111"/>
    <s v="Desk"/>
    <x v="0"/>
    <n v="300"/>
    <x v="0"/>
    <x v="0"/>
    <n v="4444"/>
    <n v="3244"/>
  </r>
  <r>
    <x v="515"/>
    <s v="11-07-2024"/>
    <s v="C103"/>
    <s v="P201"/>
    <x v="0"/>
    <x v="3"/>
    <n v="1"/>
    <n v="1257"/>
    <s v="Laptop"/>
    <x v="1"/>
    <n v="900"/>
    <x v="3"/>
    <x v="0"/>
    <n v="1257"/>
    <n v="357"/>
  </r>
  <r>
    <x v="516"/>
    <s v="27-04-2024"/>
    <s v="C105"/>
    <s v="P203"/>
    <x v="2"/>
    <x v="2"/>
    <n v="9"/>
    <n v="1542"/>
    <s v="Mobile"/>
    <x v="1"/>
    <n v="600"/>
    <x v="1"/>
    <x v="1"/>
    <n v="13878"/>
    <n v="8478"/>
  </r>
  <r>
    <x v="517"/>
    <s v="24-02-2024"/>
    <s v="C103"/>
    <s v="P205"/>
    <x v="2"/>
    <x v="3"/>
    <n v="1"/>
    <n v="1645"/>
    <s v="Chair"/>
    <x v="0"/>
    <n v="150"/>
    <x v="3"/>
    <x v="0"/>
    <n v="1645"/>
    <n v="1495"/>
  </r>
  <r>
    <x v="518"/>
    <s v="18-02-2024"/>
    <s v="C105"/>
    <s v="P202"/>
    <x v="0"/>
    <x v="0"/>
    <n v="7"/>
    <n v="975"/>
    <s v="Printer"/>
    <x v="1"/>
    <n v="1100"/>
    <x v="1"/>
    <x v="1"/>
    <n v="6825"/>
    <n v="-875"/>
  </r>
  <r>
    <x v="519"/>
    <s v="22-08-2024"/>
    <s v="C103"/>
    <s v="P201"/>
    <x v="0"/>
    <x v="3"/>
    <n v="2"/>
    <n v="1773"/>
    <s v="Laptop"/>
    <x v="1"/>
    <n v="900"/>
    <x v="3"/>
    <x v="0"/>
    <n v="3546"/>
    <n v="1746"/>
  </r>
  <r>
    <x v="520"/>
    <s v="07-04-2024"/>
    <s v="C104"/>
    <s v="P201"/>
    <x v="0"/>
    <x v="2"/>
    <n v="10"/>
    <n v="1289"/>
    <s v="Laptop"/>
    <x v="1"/>
    <n v="900"/>
    <x v="0"/>
    <x v="0"/>
    <n v="12890"/>
    <n v="3890"/>
  </r>
  <r>
    <x v="521"/>
    <s v="05-05-2024"/>
    <s v="C105"/>
    <s v="P201"/>
    <x v="0"/>
    <x v="2"/>
    <n v="4"/>
    <n v="1421"/>
    <s v="Laptop"/>
    <x v="1"/>
    <n v="900"/>
    <x v="1"/>
    <x v="1"/>
    <n v="5684"/>
    <n v="2084"/>
  </r>
  <r>
    <x v="522"/>
    <s v="23-09-2024"/>
    <s v="C103"/>
    <s v="P201"/>
    <x v="0"/>
    <x v="1"/>
    <n v="8"/>
    <n v="984"/>
    <s v="Laptop"/>
    <x v="1"/>
    <n v="900"/>
    <x v="3"/>
    <x v="0"/>
    <n v="7872"/>
    <n v="672"/>
  </r>
  <r>
    <x v="523"/>
    <s v="23-01-2024"/>
    <s v="C104"/>
    <s v="P201"/>
    <x v="0"/>
    <x v="2"/>
    <n v="4"/>
    <n v="1655"/>
    <s v="Laptop"/>
    <x v="1"/>
    <n v="900"/>
    <x v="0"/>
    <x v="0"/>
    <n v="6620"/>
    <n v="3020"/>
  </r>
  <r>
    <x v="524"/>
    <s v="31-12-2024"/>
    <s v="C102"/>
    <s v="P204"/>
    <x v="0"/>
    <x v="0"/>
    <n v="9"/>
    <n v="1161"/>
    <s v="Desk"/>
    <x v="0"/>
    <n v="300"/>
    <x v="4"/>
    <x v="1"/>
    <n v="10449"/>
    <n v="7749"/>
  </r>
  <r>
    <x v="525"/>
    <s v="20-10-2024"/>
    <s v="C102"/>
    <s v="P205"/>
    <x v="1"/>
    <x v="3"/>
    <n v="8"/>
    <n v="1368"/>
    <s v="Chair"/>
    <x v="0"/>
    <n v="150"/>
    <x v="4"/>
    <x v="1"/>
    <n v="10944"/>
    <n v="9744"/>
  </r>
  <r>
    <x v="526"/>
    <s v="16-12-2024"/>
    <s v="C103"/>
    <s v="P203"/>
    <x v="2"/>
    <x v="2"/>
    <n v="3"/>
    <n v="1199"/>
    <s v="Mobile"/>
    <x v="1"/>
    <n v="600"/>
    <x v="3"/>
    <x v="0"/>
    <n v="3597"/>
    <n v="1797"/>
  </r>
  <r>
    <x v="527"/>
    <s v="05-08-2024"/>
    <s v="C102"/>
    <s v="P201"/>
    <x v="3"/>
    <x v="0"/>
    <n v="8"/>
    <n v="1441"/>
    <s v="Laptop"/>
    <x v="1"/>
    <n v="900"/>
    <x v="4"/>
    <x v="1"/>
    <n v="11528"/>
    <n v="4328"/>
  </r>
  <r>
    <x v="528"/>
    <s v="25-06-2024"/>
    <s v="C103"/>
    <s v="P201"/>
    <x v="0"/>
    <x v="2"/>
    <n v="8"/>
    <n v="1292"/>
    <s v="Laptop"/>
    <x v="1"/>
    <n v="900"/>
    <x v="3"/>
    <x v="0"/>
    <n v="10336"/>
    <n v="3136"/>
  </r>
  <r>
    <x v="529"/>
    <s v="17-10-2024"/>
    <s v="C102"/>
    <s v="P203"/>
    <x v="3"/>
    <x v="3"/>
    <n v="5"/>
    <n v="1196"/>
    <s v="Mobile"/>
    <x v="1"/>
    <n v="600"/>
    <x v="4"/>
    <x v="1"/>
    <n v="5980"/>
    <n v="2980"/>
  </r>
  <r>
    <x v="530"/>
    <s v="18-05-2024"/>
    <s v="C105"/>
    <s v="P204"/>
    <x v="2"/>
    <x v="1"/>
    <n v="6"/>
    <n v="1939"/>
    <s v="Desk"/>
    <x v="0"/>
    <n v="300"/>
    <x v="1"/>
    <x v="1"/>
    <n v="11634"/>
    <n v="9834"/>
  </r>
  <r>
    <x v="531"/>
    <s v="06-11-2024"/>
    <s v="C102"/>
    <s v="P205"/>
    <x v="0"/>
    <x v="3"/>
    <n v="6"/>
    <n v="1886"/>
    <s v="Chair"/>
    <x v="0"/>
    <n v="150"/>
    <x v="4"/>
    <x v="1"/>
    <n v="11316"/>
    <n v="10416"/>
  </r>
  <r>
    <x v="532"/>
    <s v="16-11-2024"/>
    <s v="C102"/>
    <s v="P205"/>
    <x v="1"/>
    <x v="1"/>
    <n v="7"/>
    <n v="1687"/>
    <s v="Chair"/>
    <x v="0"/>
    <n v="150"/>
    <x v="4"/>
    <x v="1"/>
    <n v="11809"/>
    <n v="10759"/>
  </r>
  <r>
    <x v="533"/>
    <s v="06-05-2024"/>
    <s v="C103"/>
    <s v="P202"/>
    <x v="1"/>
    <x v="2"/>
    <n v="8"/>
    <n v="1546"/>
    <s v="Printer"/>
    <x v="1"/>
    <n v="1100"/>
    <x v="3"/>
    <x v="0"/>
    <n v="12368"/>
    <n v="3568"/>
  </r>
  <r>
    <x v="534"/>
    <s v="21-08-2024"/>
    <s v="C101"/>
    <s v="P204"/>
    <x v="1"/>
    <x v="3"/>
    <n v="10"/>
    <n v="1919"/>
    <s v="Desk"/>
    <x v="0"/>
    <n v="300"/>
    <x v="2"/>
    <x v="1"/>
    <n v="19190"/>
    <n v="16190"/>
  </r>
  <r>
    <x v="535"/>
    <s v="03-07-2024"/>
    <s v="C101"/>
    <s v="P202"/>
    <x v="2"/>
    <x v="3"/>
    <n v="3"/>
    <n v="1711"/>
    <s v="Printer"/>
    <x v="1"/>
    <n v="1100"/>
    <x v="2"/>
    <x v="1"/>
    <n v="5133"/>
    <n v="1833"/>
  </r>
  <r>
    <x v="536"/>
    <s v="25-07-2024"/>
    <s v="C103"/>
    <s v="P202"/>
    <x v="1"/>
    <x v="2"/>
    <n v="3"/>
    <n v="1826"/>
    <s v="Printer"/>
    <x v="1"/>
    <n v="1100"/>
    <x v="3"/>
    <x v="0"/>
    <n v="5478"/>
    <n v="2178"/>
  </r>
  <r>
    <x v="537"/>
    <s v="06-10-2024"/>
    <s v="C104"/>
    <s v="P204"/>
    <x v="2"/>
    <x v="0"/>
    <n v="5"/>
    <n v="1947"/>
    <s v="Desk"/>
    <x v="0"/>
    <n v="300"/>
    <x v="0"/>
    <x v="0"/>
    <n v="9735"/>
    <n v="8235"/>
  </r>
  <r>
    <x v="538"/>
    <s v="20-05-2024"/>
    <s v="C104"/>
    <s v="P204"/>
    <x v="3"/>
    <x v="3"/>
    <n v="10"/>
    <n v="1388"/>
    <s v="Desk"/>
    <x v="0"/>
    <n v="300"/>
    <x v="0"/>
    <x v="0"/>
    <n v="13880"/>
    <n v="10880"/>
  </r>
  <r>
    <x v="539"/>
    <s v="19-08-2024"/>
    <s v="C105"/>
    <s v="P203"/>
    <x v="3"/>
    <x v="3"/>
    <n v="2"/>
    <n v="1564"/>
    <s v="Mobile"/>
    <x v="1"/>
    <n v="600"/>
    <x v="1"/>
    <x v="1"/>
    <n v="3128"/>
    <n v="1928"/>
  </r>
  <r>
    <x v="540"/>
    <s v="05-09-2024"/>
    <s v="C101"/>
    <s v="P204"/>
    <x v="1"/>
    <x v="1"/>
    <n v="4"/>
    <n v="1709"/>
    <s v="Desk"/>
    <x v="0"/>
    <n v="300"/>
    <x v="2"/>
    <x v="1"/>
    <n v="6836"/>
    <n v="5636"/>
  </r>
  <r>
    <x v="541"/>
    <s v="30-12-2024"/>
    <s v="C103"/>
    <s v="P204"/>
    <x v="3"/>
    <x v="3"/>
    <n v="5"/>
    <n v="853"/>
    <s v="Desk"/>
    <x v="0"/>
    <n v="300"/>
    <x v="3"/>
    <x v="0"/>
    <n v="4265"/>
    <n v="2765"/>
  </r>
  <r>
    <x v="542"/>
    <s v="19-08-2024"/>
    <s v="C105"/>
    <s v="P202"/>
    <x v="0"/>
    <x v="3"/>
    <n v="6"/>
    <n v="1185"/>
    <s v="Printer"/>
    <x v="1"/>
    <n v="1100"/>
    <x v="1"/>
    <x v="1"/>
    <n v="7110"/>
    <n v="510"/>
  </r>
  <r>
    <x v="543"/>
    <s v="04-10-2024"/>
    <s v="C102"/>
    <s v="P205"/>
    <x v="3"/>
    <x v="0"/>
    <n v="9"/>
    <n v="1596"/>
    <s v="Chair"/>
    <x v="0"/>
    <n v="150"/>
    <x v="4"/>
    <x v="1"/>
    <n v="14364"/>
    <n v="13014"/>
  </r>
  <r>
    <x v="544"/>
    <s v="11-10-2024"/>
    <s v="C103"/>
    <s v="P201"/>
    <x v="1"/>
    <x v="3"/>
    <n v="5"/>
    <n v="1298"/>
    <s v="Laptop"/>
    <x v="1"/>
    <n v="900"/>
    <x v="3"/>
    <x v="0"/>
    <n v="6490"/>
    <n v="1990"/>
  </r>
  <r>
    <x v="545"/>
    <s v="02-05-2024"/>
    <s v="C103"/>
    <s v="P202"/>
    <x v="0"/>
    <x v="0"/>
    <n v="6"/>
    <n v="1364"/>
    <s v="Printer"/>
    <x v="1"/>
    <n v="1100"/>
    <x v="3"/>
    <x v="0"/>
    <n v="8184"/>
    <n v="1584"/>
  </r>
  <r>
    <x v="546"/>
    <s v="27-04-2024"/>
    <s v="C105"/>
    <s v="P204"/>
    <x v="1"/>
    <x v="0"/>
    <n v="7"/>
    <n v="1223"/>
    <s v="Desk"/>
    <x v="0"/>
    <n v="300"/>
    <x v="1"/>
    <x v="1"/>
    <n v="8561"/>
    <n v="6461"/>
  </r>
  <r>
    <x v="547"/>
    <s v="14-07-2024"/>
    <s v="C102"/>
    <s v="P204"/>
    <x v="3"/>
    <x v="0"/>
    <n v="1"/>
    <n v="937"/>
    <s v="Desk"/>
    <x v="0"/>
    <n v="300"/>
    <x v="4"/>
    <x v="1"/>
    <n v="937"/>
    <n v="637"/>
  </r>
  <r>
    <x v="548"/>
    <s v="02-01-2024"/>
    <s v="C104"/>
    <s v="P203"/>
    <x v="2"/>
    <x v="1"/>
    <n v="7"/>
    <n v="1075"/>
    <s v="Mobile"/>
    <x v="1"/>
    <n v="600"/>
    <x v="0"/>
    <x v="0"/>
    <n v="7525"/>
    <n v="3325"/>
  </r>
  <r>
    <x v="549"/>
    <s v="10-08-2024"/>
    <s v="C102"/>
    <s v="P205"/>
    <x v="3"/>
    <x v="3"/>
    <n v="6"/>
    <n v="1339"/>
    <s v="Chair"/>
    <x v="0"/>
    <n v="150"/>
    <x v="4"/>
    <x v="1"/>
    <n v="8034"/>
    <n v="7134"/>
  </r>
  <r>
    <x v="550"/>
    <s v="07-07-2024"/>
    <s v="C101"/>
    <s v="P204"/>
    <x v="2"/>
    <x v="0"/>
    <n v="4"/>
    <n v="1681"/>
    <s v="Desk"/>
    <x v="0"/>
    <n v="300"/>
    <x v="2"/>
    <x v="1"/>
    <n v="6724"/>
    <n v="5524"/>
  </r>
  <r>
    <x v="551"/>
    <s v="08-09-2024"/>
    <s v="C105"/>
    <s v="P203"/>
    <x v="2"/>
    <x v="1"/>
    <n v="9"/>
    <n v="1140"/>
    <s v="Mobile"/>
    <x v="1"/>
    <n v="600"/>
    <x v="1"/>
    <x v="1"/>
    <n v="10260"/>
    <n v="4860"/>
  </r>
  <r>
    <x v="552"/>
    <s v="20-10-2024"/>
    <s v="C102"/>
    <s v="P205"/>
    <x v="1"/>
    <x v="3"/>
    <n v="7"/>
    <n v="1232"/>
    <s v="Chair"/>
    <x v="0"/>
    <n v="150"/>
    <x v="4"/>
    <x v="1"/>
    <n v="8624"/>
    <n v="7574"/>
  </r>
  <r>
    <x v="553"/>
    <s v="26-04-2024"/>
    <s v="C101"/>
    <s v="P203"/>
    <x v="3"/>
    <x v="2"/>
    <n v="10"/>
    <n v="1607"/>
    <s v="Mobile"/>
    <x v="1"/>
    <n v="600"/>
    <x v="2"/>
    <x v="1"/>
    <n v="16070"/>
    <n v="10070"/>
  </r>
  <r>
    <x v="554"/>
    <s v="10-09-2024"/>
    <s v="C102"/>
    <s v="P203"/>
    <x v="0"/>
    <x v="0"/>
    <n v="7"/>
    <n v="1193"/>
    <s v="Mobile"/>
    <x v="1"/>
    <n v="600"/>
    <x v="4"/>
    <x v="1"/>
    <n v="8351"/>
    <n v="4151"/>
  </r>
  <r>
    <x v="555"/>
    <s v="22-07-2024"/>
    <s v="C105"/>
    <s v="P204"/>
    <x v="3"/>
    <x v="0"/>
    <n v="7"/>
    <n v="1642"/>
    <s v="Desk"/>
    <x v="0"/>
    <n v="300"/>
    <x v="1"/>
    <x v="1"/>
    <n v="11494"/>
    <n v="9394"/>
  </r>
  <r>
    <x v="556"/>
    <s v="27-06-2024"/>
    <s v="C102"/>
    <s v="P202"/>
    <x v="2"/>
    <x v="0"/>
    <n v="9"/>
    <n v="1490"/>
    <s v="Printer"/>
    <x v="1"/>
    <n v="1100"/>
    <x v="4"/>
    <x v="1"/>
    <n v="13410"/>
    <n v="3510"/>
  </r>
  <r>
    <x v="557"/>
    <s v="08-04-2024"/>
    <s v="C102"/>
    <s v="P201"/>
    <x v="3"/>
    <x v="3"/>
    <n v="4"/>
    <n v="1516"/>
    <s v="Laptop"/>
    <x v="1"/>
    <n v="900"/>
    <x v="4"/>
    <x v="1"/>
    <n v="6064"/>
    <n v="2464"/>
  </r>
  <r>
    <x v="558"/>
    <s v="27-02-2024"/>
    <s v="C104"/>
    <s v="P204"/>
    <x v="3"/>
    <x v="3"/>
    <n v="2"/>
    <n v="1029"/>
    <s v="Desk"/>
    <x v="0"/>
    <n v="300"/>
    <x v="0"/>
    <x v="0"/>
    <n v="2058"/>
    <n v="1458"/>
  </r>
  <r>
    <x v="559"/>
    <s v="27-04-2024"/>
    <s v="C105"/>
    <s v="P202"/>
    <x v="0"/>
    <x v="3"/>
    <n v="2"/>
    <n v="1242"/>
    <s v="Printer"/>
    <x v="1"/>
    <n v="1100"/>
    <x v="1"/>
    <x v="1"/>
    <n v="2484"/>
    <n v="284"/>
  </r>
  <r>
    <x v="560"/>
    <s v="28-11-2024"/>
    <s v="C104"/>
    <s v="P204"/>
    <x v="1"/>
    <x v="1"/>
    <n v="6"/>
    <n v="1410"/>
    <s v="Desk"/>
    <x v="0"/>
    <n v="300"/>
    <x v="0"/>
    <x v="0"/>
    <n v="8460"/>
    <n v="6660"/>
  </r>
  <r>
    <x v="561"/>
    <s v="09-12-2024"/>
    <s v="C105"/>
    <s v="P203"/>
    <x v="1"/>
    <x v="1"/>
    <n v="1"/>
    <n v="1393"/>
    <s v="Mobile"/>
    <x v="1"/>
    <n v="600"/>
    <x v="1"/>
    <x v="1"/>
    <n v="1393"/>
    <n v="793"/>
  </r>
  <r>
    <x v="562"/>
    <s v="18-05-2024"/>
    <s v="C103"/>
    <s v="P201"/>
    <x v="0"/>
    <x v="2"/>
    <n v="4"/>
    <n v="1958"/>
    <s v="Laptop"/>
    <x v="1"/>
    <n v="900"/>
    <x v="3"/>
    <x v="0"/>
    <n v="7832"/>
    <n v="4232"/>
  </r>
  <r>
    <x v="563"/>
    <s v="04-11-2024"/>
    <s v="C105"/>
    <s v="P201"/>
    <x v="2"/>
    <x v="2"/>
    <n v="2"/>
    <n v="839"/>
    <s v="Laptop"/>
    <x v="1"/>
    <n v="900"/>
    <x v="1"/>
    <x v="1"/>
    <n v="1678"/>
    <n v="-122"/>
  </r>
  <r>
    <x v="564"/>
    <s v="29-10-2024"/>
    <s v="C101"/>
    <s v="P203"/>
    <x v="3"/>
    <x v="3"/>
    <n v="7"/>
    <n v="1001"/>
    <s v="Mobile"/>
    <x v="1"/>
    <n v="600"/>
    <x v="2"/>
    <x v="1"/>
    <n v="7007"/>
    <n v="2807"/>
  </r>
  <r>
    <x v="565"/>
    <s v="03-06-2024"/>
    <s v="C103"/>
    <s v="P203"/>
    <x v="2"/>
    <x v="0"/>
    <n v="4"/>
    <n v="1298"/>
    <s v="Mobile"/>
    <x v="1"/>
    <n v="600"/>
    <x v="3"/>
    <x v="0"/>
    <n v="5192"/>
    <n v="2792"/>
  </r>
  <r>
    <x v="566"/>
    <s v="27-09-2024"/>
    <s v="C102"/>
    <s v="P205"/>
    <x v="2"/>
    <x v="1"/>
    <n v="1"/>
    <n v="1601"/>
    <s v="Chair"/>
    <x v="0"/>
    <n v="150"/>
    <x v="4"/>
    <x v="1"/>
    <n v="1601"/>
    <n v="1451"/>
  </r>
  <r>
    <x v="567"/>
    <s v="07-02-2024"/>
    <s v="C105"/>
    <s v="P204"/>
    <x v="1"/>
    <x v="1"/>
    <n v="5"/>
    <n v="1754"/>
    <s v="Desk"/>
    <x v="0"/>
    <n v="300"/>
    <x v="1"/>
    <x v="1"/>
    <n v="8770"/>
    <n v="7270"/>
  </r>
  <r>
    <x v="568"/>
    <s v="26-10-2024"/>
    <s v="C105"/>
    <s v="P204"/>
    <x v="0"/>
    <x v="2"/>
    <n v="3"/>
    <n v="1208"/>
    <s v="Desk"/>
    <x v="0"/>
    <n v="300"/>
    <x v="1"/>
    <x v="1"/>
    <n v="3624"/>
    <n v="2724"/>
  </r>
  <r>
    <x v="569"/>
    <s v="24-10-2024"/>
    <s v="C105"/>
    <s v="P202"/>
    <x v="1"/>
    <x v="1"/>
    <n v="3"/>
    <n v="1824"/>
    <s v="Printer"/>
    <x v="1"/>
    <n v="1100"/>
    <x v="1"/>
    <x v="1"/>
    <n v="5472"/>
    <n v="2172"/>
  </r>
  <r>
    <x v="570"/>
    <s v="02-02-2024"/>
    <s v="C105"/>
    <s v="P204"/>
    <x v="1"/>
    <x v="2"/>
    <n v="3"/>
    <n v="984"/>
    <s v="Desk"/>
    <x v="0"/>
    <n v="300"/>
    <x v="1"/>
    <x v="1"/>
    <n v="2952"/>
    <n v="2052"/>
  </r>
  <r>
    <x v="571"/>
    <s v="27-07-2024"/>
    <s v="C102"/>
    <s v="P201"/>
    <x v="2"/>
    <x v="3"/>
    <n v="2"/>
    <n v="1778"/>
    <s v="Laptop"/>
    <x v="1"/>
    <n v="900"/>
    <x v="4"/>
    <x v="1"/>
    <n v="3556"/>
    <n v="1756"/>
  </r>
  <r>
    <x v="572"/>
    <s v="09-03-2024"/>
    <s v="C105"/>
    <s v="P203"/>
    <x v="2"/>
    <x v="0"/>
    <n v="6"/>
    <n v="979"/>
    <s v="Mobile"/>
    <x v="1"/>
    <n v="600"/>
    <x v="1"/>
    <x v="1"/>
    <n v="5874"/>
    <n v="2274"/>
  </r>
  <r>
    <x v="573"/>
    <s v="07-03-2024"/>
    <s v="C102"/>
    <s v="P202"/>
    <x v="3"/>
    <x v="2"/>
    <n v="2"/>
    <n v="1355"/>
    <s v="Printer"/>
    <x v="1"/>
    <n v="1100"/>
    <x v="4"/>
    <x v="1"/>
    <n v="2710"/>
    <n v="510"/>
  </r>
  <r>
    <x v="574"/>
    <s v="09-02-2024"/>
    <s v="C101"/>
    <s v="P201"/>
    <x v="2"/>
    <x v="2"/>
    <n v="7"/>
    <n v="851"/>
    <s v="Laptop"/>
    <x v="1"/>
    <n v="900"/>
    <x v="2"/>
    <x v="1"/>
    <n v="5957"/>
    <n v="-343"/>
  </r>
  <r>
    <x v="575"/>
    <s v="22-06-2024"/>
    <s v="C101"/>
    <s v="P204"/>
    <x v="0"/>
    <x v="0"/>
    <n v="1"/>
    <n v="1002"/>
    <s v="Desk"/>
    <x v="0"/>
    <n v="300"/>
    <x v="2"/>
    <x v="1"/>
    <n v="1002"/>
    <n v="702"/>
  </r>
  <r>
    <x v="576"/>
    <s v="26-12-2024"/>
    <s v="C102"/>
    <s v="P202"/>
    <x v="2"/>
    <x v="1"/>
    <n v="6"/>
    <n v="1993"/>
    <s v="Printer"/>
    <x v="1"/>
    <n v="1100"/>
    <x v="4"/>
    <x v="1"/>
    <n v="11958"/>
    <n v="5358"/>
  </r>
  <r>
    <x v="577"/>
    <s v="15-12-2024"/>
    <s v="C104"/>
    <s v="P204"/>
    <x v="2"/>
    <x v="3"/>
    <n v="4"/>
    <n v="972"/>
    <s v="Desk"/>
    <x v="0"/>
    <n v="300"/>
    <x v="0"/>
    <x v="0"/>
    <n v="3888"/>
    <n v="2688"/>
  </r>
  <r>
    <x v="578"/>
    <s v="22-08-2024"/>
    <s v="C104"/>
    <s v="P204"/>
    <x v="3"/>
    <x v="2"/>
    <n v="4"/>
    <n v="1660"/>
    <s v="Desk"/>
    <x v="0"/>
    <n v="300"/>
    <x v="0"/>
    <x v="0"/>
    <n v="6640"/>
    <n v="5440"/>
  </r>
  <r>
    <x v="579"/>
    <s v="02-02-2024"/>
    <s v="C104"/>
    <s v="P202"/>
    <x v="3"/>
    <x v="1"/>
    <n v="3"/>
    <n v="1025"/>
    <s v="Printer"/>
    <x v="1"/>
    <n v="1100"/>
    <x v="0"/>
    <x v="0"/>
    <n v="3075"/>
    <n v="-225"/>
  </r>
  <r>
    <x v="580"/>
    <s v="28-04-2024"/>
    <s v="C105"/>
    <s v="P204"/>
    <x v="0"/>
    <x v="3"/>
    <n v="1"/>
    <n v="1175"/>
    <s v="Desk"/>
    <x v="0"/>
    <n v="300"/>
    <x v="1"/>
    <x v="1"/>
    <n v="1175"/>
    <n v="875"/>
  </r>
  <r>
    <x v="581"/>
    <s v="18-06-2024"/>
    <s v="C103"/>
    <s v="P202"/>
    <x v="1"/>
    <x v="2"/>
    <n v="6"/>
    <n v="821"/>
    <s v="Printer"/>
    <x v="1"/>
    <n v="1100"/>
    <x v="3"/>
    <x v="0"/>
    <n v="4926"/>
    <n v="-1674"/>
  </r>
  <r>
    <x v="582"/>
    <s v="18-01-2024"/>
    <s v="C102"/>
    <s v="P203"/>
    <x v="2"/>
    <x v="0"/>
    <n v="6"/>
    <n v="1128"/>
    <s v="Mobile"/>
    <x v="1"/>
    <n v="600"/>
    <x v="4"/>
    <x v="1"/>
    <n v="6768"/>
    <n v="3168"/>
  </r>
  <r>
    <x v="583"/>
    <s v="26-03-2024"/>
    <s v="C105"/>
    <s v="P202"/>
    <x v="2"/>
    <x v="0"/>
    <n v="1"/>
    <n v="1830"/>
    <s v="Printer"/>
    <x v="1"/>
    <n v="1100"/>
    <x v="1"/>
    <x v="1"/>
    <n v="1830"/>
    <n v="730"/>
  </r>
  <r>
    <x v="584"/>
    <s v="15-12-2024"/>
    <s v="C105"/>
    <s v="P205"/>
    <x v="0"/>
    <x v="3"/>
    <n v="1"/>
    <n v="1212"/>
    <s v="Chair"/>
    <x v="0"/>
    <n v="150"/>
    <x v="1"/>
    <x v="1"/>
    <n v="1212"/>
    <n v="1062"/>
  </r>
  <r>
    <x v="585"/>
    <s v="04-05-2024"/>
    <s v="C102"/>
    <s v="P202"/>
    <x v="2"/>
    <x v="0"/>
    <n v="7"/>
    <n v="1778"/>
    <s v="Printer"/>
    <x v="1"/>
    <n v="1100"/>
    <x v="4"/>
    <x v="1"/>
    <n v="12446"/>
    <n v="4746"/>
  </r>
  <r>
    <x v="586"/>
    <s v="04-04-2024"/>
    <s v="C105"/>
    <s v="P205"/>
    <x v="0"/>
    <x v="1"/>
    <n v="9"/>
    <n v="954"/>
    <s v="Chair"/>
    <x v="0"/>
    <n v="150"/>
    <x v="1"/>
    <x v="1"/>
    <n v="8586"/>
    <n v="7236"/>
  </r>
  <r>
    <x v="587"/>
    <s v="21-11-2024"/>
    <s v="C102"/>
    <s v="P202"/>
    <x v="0"/>
    <x v="1"/>
    <n v="2"/>
    <n v="1267"/>
    <s v="Printer"/>
    <x v="1"/>
    <n v="1100"/>
    <x v="4"/>
    <x v="1"/>
    <n v="2534"/>
    <n v="334"/>
  </r>
  <r>
    <x v="588"/>
    <s v="11-11-2024"/>
    <s v="C104"/>
    <s v="P205"/>
    <x v="0"/>
    <x v="1"/>
    <n v="4"/>
    <n v="1867"/>
    <s v="Chair"/>
    <x v="0"/>
    <n v="150"/>
    <x v="0"/>
    <x v="0"/>
    <n v="7468"/>
    <n v="6868"/>
  </r>
  <r>
    <x v="589"/>
    <s v="04-12-2024"/>
    <s v="C105"/>
    <s v="P201"/>
    <x v="2"/>
    <x v="3"/>
    <n v="8"/>
    <n v="1699"/>
    <s v="Laptop"/>
    <x v="1"/>
    <n v="900"/>
    <x v="1"/>
    <x v="1"/>
    <n v="13592"/>
    <n v="6392"/>
  </r>
  <r>
    <x v="590"/>
    <s v="18-12-2024"/>
    <s v="C103"/>
    <s v="P203"/>
    <x v="2"/>
    <x v="2"/>
    <n v="2"/>
    <n v="1140"/>
    <s v="Mobile"/>
    <x v="1"/>
    <n v="600"/>
    <x v="3"/>
    <x v="0"/>
    <n v="2280"/>
    <n v="1080"/>
  </r>
  <r>
    <x v="591"/>
    <s v="02-12-2024"/>
    <s v="C102"/>
    <s v="P201"/>
    <x v="0"/>
    <x v="0"/>
    <n v="3"/>
    <n v="1079"/>
    <s v="Laptop"/>
    <x v="1"/>
    <n v="900"/>
    <x v="4"/>
    <x v="1"/>
    <n v="3237"/>
    <n v="537"/>
  </r>
  <r>
    <x v="592"/>
    <s v="13-09-2024"/>
    <s v="C101"/>
    <s v="P201"/>
    <x v="3"/>
    <x v="3"/>
    <n v="2"/>
    <n v="1947"/>
    <s v="Laptop"/>
    <x v="1"/>
    <n v="900"/>
    <x v="2"/>
    <x v="1"/>
    <n v="3894"/>
    <n v="2094"/>
  </r>
  <r>
    <x v="593"/>
    <s v="31-12-2024"/>
    <s v="C102"/>
    <s v="P202"/>
    <x v="1"/>
    <x v="1"/>
    <n v="8"/>
    <n v="994"/>
    <s v="Printer"/>
    <x v="1"/>
    <n v="1100"/>
    <x v="4"/>
    <x v="1"/>
    <n v="7952"/>
    <n v="-848"/>
  </r>
  <r>
    <x v="594"/>
    <s v="02-05-2024"/>
    <s v="C102"/>
    <s v="P202"/>
    <x v="2"/>
    <x v="0"/>
    <n v="1"/>
    <n v="1737"/>
    <s v="Printer"/>
    <x v="1"/>
    <n v="1100"/>
    <x v="4"/>
    <x v="1"/>
    <n v="1737"/>
    <n v="637"/>
  </r>
  <r>
    <x v="595"/>
    <s v="15-04-2024"/>
    <s v="C104"/>
    <s v="P201"/>
    <x v="0"/>
    <x v="2"/>
    <n v="1"/>
    <n v="1188"/>
    <s v="Laptop"/>
    <x v="1"/>
    <n v="900"/>
    <x v="0"/>
    <x v="0"/>
    <n v="1188"/>
    <n v="288"/>
  </r>
  <r>
    <x v="596"/>
    <s v="11-04-2024"/>
    <s v="C104"/>
    <s v="P205"/>
    <x v="1"/>
    <x v="0"/>
    <n v="5"/>
    <n v="1705"/>
    <s v="Chair"/>
    <x v="0"/>
    <n v="150"/>
    <x v="0"/>
    <x v="0"/>
    <n v="8525"/>
    <n v="7775"/>
  </r>
  <r>
    <x v="597"/>
    <s v="28-10-2024"/>
    <s v="C101"/>
    <s v="P205"/>
    <x v="3"/>
    <x v="1"/>
    <n v="5"/>
    <n v="1456"/>
    <s v="Chair"/>
    <x v="0"/>
    <n v="150"/>
    <x v="2"/>
    <x v="1"/>
    <n v="7280"/>
    <n v="6530"/>
  </r>
  <r>
    <x v="598"/>
    <s v="06-04-2024"/>
    <s v="C101"/>
    <s v="P204"/>
    <x v="2"/>
    <x v="0"/>
    <n v="5"/>
    <n v="1116"/>
    <s v="Desk"/>
    <x v="0"/>
    <n v="300"/>
    <x v="2"/>
    <x v="1"/>
    <n v="5580"/>
    <n v="4080"/>
  </r>
  <r>
    <x v="599"/>
    <s v="03-06-2024"/>
    <s v="C103"/>
    <s v="P201"/>
    <x v="1"/>
    <x v="2"/>
    <n v="1"/>
    <n v="1561"/>
    <s v="Laptop"/>
    <x v="1"/>
    <n v="900"/>
    <x v="3"/>
    <x v="0"/>
    <n v="1561"/>
    <n v="661"/>
  </r>
  <r>
    <x v="600"/>
    <s v="10-08-2024"/>
    <s v="C103"/>
    <s v="P202"/>
    <x v="3"/>
    <x v="1"/>
    <n v="2"/>
    <n v="1586"/>
    <s v="Printer"/>
    <x v="1"/>
    <n v="1100"/>
    <x v="3"/>
    <x v="0"/>
    <n v="3172"/>
    <n v="972"/>
  </r>
  <r>
    <x v="601"/>
    <s v="21-01-2024"/>
    <s v="C102"/>
    <s v="P203"/>
    <x v="0"/>
    <x v="3"/>
    <n v="4"/>
    <n v="1686"/>
    <s v="Mobile"/>
    <x v="1"/>
    <n v="600"/>
    <x v="4"/>
    <x v="1"/>
    <n v="6744"/>
    <n v="4344"/>
  </r>
  <r>
    <x v="602"/>
    <s v="24-02-2024"/>
    <s v="C101"/>
    <s v="P205"/>
    <x v="3"/>
    <x v="0"/>
    <n v="8"/>
    <n v="1374"/>
    <s v="Chair"/>
    <x v="0"/>
    <n v="150"/>
    <x v="2"/>
    <x v="1"/>
    <n v="10992"/>
    <n v="9792"/>
  </r>
  <r>
    <x v="603"/>
    <s v="08-09-2024"/>
    <s v="C102"/>
    <s v="P204"/>
    <x v="2"/>
    <x v="2"/>
    <n v="2"/>
    <n v="1260"/>
    <s v="Desk"/>
    <x v="0"/>
    <n v="300"/>
    <x v="4"/>
    <x v="1"/>
    <n v="2520"/>
    <n v="1920"/>
  </r>
  <r>
    <x v="604"/>
    <s v="04-12-2024"/>
    <s v="C102"/>
    <s v="P201"/>
    <x v="3"/>
    <x v="3"/>
    <n v="9"/>
    <n v="1754"/>
    <s v="Laptop"/>
    <x v="1"/>
    <n v="900"/>
    <x v="4"/>
    <x v="1"/>
    <n v="15786"/>
    <n v="7686"/>
  </r>
  <r>
    <x v="605"/>
    <s v="01-03-2024"/>
    <s v="C103"/>
    <s v="P205"/>
    <x v="3"/>
    <x v="0"/>
    <n v="5"/>
    <n v="911"/>
    <s v="Chair"/>
    <x v="0"/>
    <n v="150"/>
    <x v="3"/>
    <x v="0"/>
    <n v="4555"/>
    <n v="3805"/>
  </r>
  <r>
    <x v="606"/>
    <s v="15-12-2024"/>
    <s v="C101"/>
    <s v="P205"/>
    <x v="3"/>
    <x v="0"/>
    <n v="2"/>
    <n v="1986"/>
    <s v="Chair"/>
    <x v="0"/>
    <n v="150"/>
    <x v="2"/>
    <x v="1"/>
    <n v="3972"/>
    <n v="3672"/>
  </r>
  <r>
    <x v="607"/>
    <s v="15-06-2024"/>
    <s v="C103"/>
    <s v="P205"/>
    <x v="0"/>
    <x v="3"/>
    <n v="1"/>
    <n v="876"/>
    <s v="Chair"/>
    <x v="0"/>
    <n v="150"/>
    <x v="3"/>
    <x v="0"/>
    <n v="876"/>
    <n v="726"/>
  </r>
  <r>
    <x v="608"/>
    <s v="01-01-2024"/>
    <s v="C104"/>
    <s v="P201"/>
    <x v="1"/>
    <x v="1"/>
    <n v="10"/>
    <n v="1089"/>
    <s v="Laptop"/>
    <x v="1"/>
    <n v="900"/>
    <x v="0"/>
    <x v="0"/>
    <n v="10890"/>
    <n v="1890"/>
  </r>
  <r>
    <x v="609"/>
    <s v="08-11-2024"/>
    <s v="C102"/>
    <s v="P204"/>
    <x v="3"/>
    <x v="3"/>
    <n v="1"/>
    <n v="1461"/>
    <s v="Desk"/>
    <x v="0"/>
    <n v="300"/>
    <x v="4"/>
    <x v="1"/>
    <n v="1461"/>
    <n v="1161"/>
  </r>
  <r>
    <x v="610"/>
    <s v="14-09-2024"/>
    <s v="C103"/>
    <s v="P204"/>
    <x v="0"/>
    <x v="0"/>
    <n v="4"/>
    <n v="1829"/>
    <s v="Desk"/>
    <x v="0"/>
    <n v="300"/>
    <x v="3"/>
    <x v="0"/>
    <n v="7316"/>
    <n v="6116"/>
  </r>
  <r>
    <x v="611"/>
    <s v="04-06-2024"/>
    <s v="C104"/>
    <s v="P203"/>
    <x v="0"/>
    <x v="2"/>
    <n v="9"/>
    <n v="1877"/>
    <s v="Mobile"/>
    <x v="1"/>
    <n v="600"/>
    <x v="0"/>
    <x v="0"/>
    <n v="16893"/>
    <n v="11493"/>
  </r>
  <r>
    <x v="612"/>
    <s v="09-04-2024"/>
    <s v="C104"/>
    <s v="P201"/>
    <x v="0"/>
    <x v="3"/>
    <n v="2"/>
    <n v="1955"/>
    <s v="Laptop"/>
    <x v="1"/>
    <n v="900"/>
    <x v="0"/>
    <x v="0"/>
    <n v="3910"/>
    <n v="2110"/>
  </r>
  <r>
    <x v="613"/>
    <s v="25-02-2024"/>
    <s v="C102"/>
    <s v="P202"/>
    <x v="3"/>
    <x v="1"/>
    <n v="10"/>
    <n v="1623"/>
    <s v="Printer"/>
    <x v="1"/>
    <n v="1100"/>
    <x v="4"/>
    <x v="1"/>
    <n v="16230"/>
    <n v="5230"/>
  </r>
  <r>
    <x v="614"/>
    <s v="03-01-2024"/>
    <s v="C102"/>
    <s v="P205"/>
    <x v="2"/>
    <x v="1"/>
    <n v="6"/>
    <n v="823"/>
    <s v="Chair"/>
    <x v="0"/>
    <n v="150"/>
    <x v="4"/>
    <x v="1"/>
    <n v="4938"/>
    <n v="4038"/>
  </r>
  <r>
    <x v="615"/>
    <s v="21-11-2024"/>
    <s v="C103"/>
    <s v="P203"/>
    <x v="3"/>
    <x v="1"/>
    <n v="10"/>
    <n v="1117"/>
    <s v="Mobile"/>
    <x v="1"/>
    <n v="600"/>
    <x v="3"/>
    <x v="0"/>
    <n v="11170"/>
    <n v="5170"/>
  </r>
  <r>
    <x v="616"/>
    <s v="12-12-2024"/>
    <s v="C102"/>
    <s v="P201"/>
    <x v="3"/>
    <x v="3"/>
    <n v="4"/>
    <n v="1477"/>
    <s v="Laptop"/>
    <x v="1"/>
    <n v="900"/>
    <x v="4"/>
    <x v="1"/>
    <n v="5908"/>
    <n v="2308"/>
  </r>
  <r>
    <x v="617"/>
    <s v="16-09-2024"/>
    <s v="C104"/>
    <s v="P203"/>
    <x v="0"/>
    <x v="0"/>
    <n v="3"/>
    <n v="1837"/>
    <s v="Mobile"/>
    <x v="1"/>
    <n v="600"/>
    <x v="0"/>
    <x v="0"/>
    <n v="5511"/>
    <n v="3711"/>
  </r>
  <r>
    <x v="618"/>
    <s v="03-05-2024"/>
    <s v="C101"/>
    <s v="P204"/>
    <x v="0"/>
    <x v="3"/>
    <n v="8"/>
    <n v="879"/>
    <s v="Desk"/>
    <x v="0"/>
    <n v="300"/>
    <x v="2"/>
    <x v="1"/>
    <n v="7032"/>
    <n v="4632"/>
  </r>
  <r>
    <x v="619"/>
    <s v="20-06-2024"/>
    <s v="C102"/>
    <s v="P204"/>
    <x v="1"/>
    <x v="2"/>
    <n v="9"/>
    <n v="1667"/>
    <s v="Desk"/>
    <x v="0"/>
    <n v="300"/>
    <x v="4"/>
    <x v="1"/>
    <n v="15003"/>
    <n v="12303"/>
  </r>
  <r>
    <x v="620"/>
    <s v="29-09-2024"/>
    <s v="C102"/>
    <s v="P204"/>
    <x v="0"/>
    <x v="2"/>
    <n v="3"/>
    <n v="1935"/>
    <s v="Desk"/>
    <x v="0"/>
    <n v="300"/>
    <x v="4"/>
    <x v="1"/>
    <n v="5805"/>
    <n v="4905"/>
  </r>
  <r>
    <x v="621"/>
    <s v="04-11-2024"/>
    <s v="C103"/>
    <s v="P202"/>
    <x v="3"/>
    <x v="0"/>
    <n v="2"/>
    <n v="916"/>
    <s v="Printer"/>
    <x v="1"/>
    <n v="1100"/>
    <x v="3"/>
    <x v="0"/>
    <n v="1832"/>
    <n v="-368"/>
  </r>
  <r>
    <x v="622"/>
    <s v="05-08-2024"/>
    <s v="C103"/>
    <s v="P201"/>
    <x v="0"/>
    <x v="3"/>
    <n v="7"/>
    <n v="935"/>
    <s v="Laptop"/>
    <x v="1"/>
    <n v="900"/>
    <x v="3"/>
    <x v="0"/>
    <n v="6545"/>
    <n v="245"/>
  </r>
  <r>
    <x v="623"/>
    <s v="15-09-2024"/>
    <s v="C104"/>
    <s v="P205"/>
    <x v="3"/>
    <x v="2"/>
    <n v="4"/>
    <n v="807"/>
    <s v="Chair"/>
    <x v="0"/>
    <n v="150"/>
    <x v="0"/>
    <x v="0"/>
    <n v="3228"/>
    <n v="2628"/>
  </r>
  <r>
    <x v="624"/>
    <s v="11-01-2024"/>
    <s v="C104"/>
    <s v="P204"/>
    <x v="1"/>
    <x v="1"/>
    <n v="4"/>
    <n v="1613"/>
    <s v="Desk"/>
    <x v="0"/>
    <n v="300"/>
    <x v="0"/>
    <x v="0"/>
    <n v="6452"/>
    <n v="5252"/>
  </r>
  <r>
    <x v="625"/>
    <s v="28-05-2024"/>
    <s v="C105"/>
    <s v="P204"/>
    <x v="2"/>
    <x v="2"/>
    <n v="7"/>
    <n v="1170"/>
    <s v="Desk"/>
    <x v="0"/>
    <n v="300"/>
    <x v="1"/>
    <x v="1"/>
    <n v="8190"/>
    <n v="6090"/>
  </r>
  <r>
    <x v="626"/>
    <s v="02-03-2024"/>
    <s v="C102"/>
    <s v="P203"/>
    <x v="0"/>
    <x v="1"/>
    <n v="9"/>
    <n v="1781"/>
    <s v="Mobile"/>
    <x v="1"/>
    <n v="600"/>
    <x v="4"/>
    <x v="1"/>
    <n v="16029"/>
    <n v="10629"/>
  </r>
  <r>
    <x v="627"/>
    <s v="20-07-2024"/>
    <s v="C102"/>
    <s v="P201"/>
    <x v="2"/>
    <x v="2"/>
    <n v="8"/>
    <n v="1243"/>
    <s v="Laptop"/>
    <x v="1"/>
    <n v="900"/>
    <x v="4"/>
    <x v="1"/>
    <n v="9944"/>
    <n v="2744"/>
  </r>
  <r>
    <x v="628"/>
    <s v="13-08-2024"/>
    <s v="C105"/>
    <s v="P202"/>
    <x v="2"/>
    <x v="2"/>
    <n v="3"/>
    <n v="1382"/>
    <s v="Printer"/>
    <x v="1"/>
    <n v="1100"/>
    <x v="1"/>
    <x v="1"/>
    <n v="4146"/>
    <n v="846"/>
  </r>
  <r>
    <x v="629"/>
    <s v="18-11-2024"/>
    <s v="C104"/>
    <s v="P205"/>
    <x v="2"/>
    <x v="2"/>
    <n v="6"/>
    <n v="956"/>
    <s v="Chair"/>
    <x v="0"/>
    <n v="150"/>
    <x v="0"/>
    <x v="0"/>
    <n v="5736"/>
    <n v="4836"/>
  </r>
  <r>
    <x v="630"/>
    <s v="18-05-2024"/>
    <s v="C105"/>
    <s v="P205"/>
    <x v="0"/>
    <x v="1"/>
    <n v="3"/>
    <n v="1890"/>
    <s v="Chair"/>
    <x v="0"/>
    <n v="150"/>
    <x v="1"/>
    <x v="1"/>
    <n v="5670"/>
    <n v="5220"/>
  </r>
  <r>
    <x v="631"/>
    <s v="26-08-2024"/>
    <s v="C104"/>
    <s v="P203"/>
    <x v="0"/>
    <x v="0"/>
    <n v="10"/>
    <n v="1091"/>
    <s v="Mobile"/>
    <x v="1"/>
    <n v="600"/>
    <x v="0"/>
    <x v="0"/>
    <n v="10910"/>
    <n v="4910"/>
  </r>
  <r>
    <x v="632"/>
    <s v="06-01-2024"/>
    <s v="C103"/>
    <s v="P203"/>
    <x v="1"/>
    <x v="2"/>
    <n v="3"/>
    <n v="1731"/>
    <s v="Mobile"/>
    <x v="1"/>
    <n v="600"/>
    <x v="3"/>
    <x v="0"/>
    <n v="5193"/>
    <n v="3393"/>
  </r>
  <r>
    <x v="633"/>
    <s v="13-07-2024"/>
    <s v="C104"/>
    <s v="P203"/>
    <x v="0"/>
    <x v="3"/>
    <n v="5"/>
    <n v="1515"/>
    <s v="Mobile"/>
    <x v="1"/>
    <n v="600"/>
    <x v="0"/>
    <x v="0"/>
    <n v="7575"/>
    <n v="4575"/>
  </r>
  <r>
    <x v="634"/>
    <s v="17-06-2024"/>
    <s v="C104"/>
    <s v="P203"/>
    <x v="3"/>
    <x v="2"/>
    <n v="4"/>
    <n v="1104"/>
    <s v="Mobile"/>
    <x v="1"/>
    <n v="600"/>
    <x v="0"/>
    <x v="0"/>
    <n v="4416"/>
    <n v="2016"/>
  </r>
  <r>
    <x v="635"/>
    <s v="31-03-2024"/>
    <s v="C101"/>
    <s v="P201"/>
    <x v="1"/>
    <x v="1"/>
    <n v="4"/>
    <n v="1228"/>
    <s v="Laptop"/>
    <x v="1"/>
    <n v="900"/>
    <x v="2"/>
    <x v="1"/>
    <n v="4912"/>
    <n v="1312"/>
  </r>
  <r>
    <x v="636"/>
    <s v="14-12-2024"/>
    <s v="C103"/>
    <s v="P202"/>
    <x v="2"/>
    <x v="3"/>
    <n v="3"/>
    <n v="1009"/>
    <s v="Printer"/>
    <x v="1"/>
    <n v="1100"/>
    <x v="3"/>
    <x v="0"/>
    <n v="3027"/>
    <n v="-273"/>
  </r>
  <r>
    <x v="637"/>
    <s v="18-10-2024"/>
    <s v="C103"/>
    <s v="P201"/>
    <x v="2"/>
    <x v="3"/>
    <n v="9"/>
    <n v="1514"/>
    <s v="Laptop"/>
    <x v="1"/>
    <n v="900"/>
    <x v="3"/>
    <x v="0"/>
    <n v="13626"/>
    <n v="5526"/>
  </r>
  <r>
    <x v="638"/>
    <s v="18-05-2024"/>
    <s v="C104"/>
    <s v="P202"/>
    <x v="3"/>
    <x v="0"/>
    <n v="4"/>
    <n v="1481"/>
    <s v="Printer"/>
    <x v="1"/>
    <n v="1100"/>
    <x v="0"/>
    <x v="0"/>
    <n v="5924"/>
    <n v="1524"/>
  </r>
  <r>
    <x v="639"/>
    <s v="14-04-2024"/>
    <s v="C101"/>
    <s v="P201"/>
    <x v="2"/>
    <x v="3"/>
    <n v="4"/>
    <n v="1796"/>
    <s v="Laptop"/>
    <x v="1"/>
    <n v="900"/>
    <x v="2"/>
    <x v="1"/>
    <n v="7184"/>
    <n v="3584"/>
  </r>
  <r>
    <x v="640"/>
    <s v="29-11-2024"/>
    <s v="C105"/>
    <s v="P202"/>
    <x v="0"/>
    <x v="3"/>
    <n v="2"/>
    <n v="1794"/>
    <s v="Printer"/>
    <x v="1"/>
    <n v="1100"/>
    <x v="1"/>
    <x v="1"/>
    <n v="3588"/>
    <n v="1388"/>
  </r>
  <r>
    <x v="641"/>
    <s v="19-08-2024"/>
    <s v="C104"/>
    <s v="P205"/>
    <x v="1"/>
    <x v="1"/>
    <n v="4"/>
    <n v="1282"/>
    <s v="Chair"/>
    <x v="0"/>
    <n v="150"/>
    <x v="0"/>
    <x v="0"/>
    <n v="5128"/>
    <n v="4528"/>
  </r>
  <r>
    <x v="642"/>
    <s v="29-03-2024"/>
    <s v="C102"/>
    <s v="P201"/>
    <x v="0"/>
    <x v="0"/>
    <n v="5"/>
    <n v="1202"/>
    <s v="Laptop"/>
    <x v="1"/>
    <n v="900"/>
    <x v="4"/>
    <x v="1"/>
    <n v="6010"/>
    <n v="1510"/>
  </r>
  <r>
    <x v="643"/>
    <s v="28-11-2024"/>
    <s v="C103"/>
    <s v="P202"/>
    <x v="2"/>
    <x v="2"/>
    <n v="4"/>
    <n v="836"/>
    <s v="Printer"/>
    <x v="1"/>
    <n v="1100"/>
    <x v="3"/>
    <x v="0"/>
    <n v="3344"/>
    <n v="-1056"/>
  </r>
  <r>
    <x v="644"/>
    <s v="22-06-2024"/>
    <s v="C105"/>
    <s v="P204"/>
    <x v="1"/>
    <x v="3"/>
    <n v="2"/>
    <n v="1644"/>
    <s v="Desk"/>
    <x v="0"/>
    <n v="300"/>
    <x v="1"/>
    <x v="1"/>
    <n v="3288"/>
    <n v="2688"/>
  </r>
  <r>
    <x v="645"/>
    <s v="24-06-2024"/>
    <s v="C104"/>
    <s v="P202"/>
    <x v="1"/>
    <x v="1"/>
    <n v="9"/>
    <n v="1745"/>
    <s v="Printer"/>
    <x v="1"/>
    <n v="1100"/>
    <x v="0"/>
    <x v="0"/>
    <n v="15705"/>
    <n v="5805"/>
  </r>
  <r>
    <x v="646"/>
    <s v="19-09-2024"/>
    <s v="C101"/>
    <s v="P202"/>
    <x v="1"/>
    <x v="0"/>
    <n v="10"/>
    <n v="819"/>
    <s v="Printer"/>
    <x v="1"/>
    <n v="1100"/>
    <x v="2"/>
    <x v="1"/>
    <n v="8190"/>
    <n v="-2810"/>
  </r>
  <r>
    <x v="647"/>
    <s v="04-05-2024"/>
    <s v="C103"/>
    <s v="P205"/>
    <x v="1"/>
    <x v="2"/>
    <n v="10"/>
    <n v="1439"/>
    <s v="Chair"/>
    <x v="0"/>
    <n v="150"/>
    <x v="3"/>
    <x v="0"/>
    <n v="14390"/>
    <n v="12890"/>
  </r>
  <r>
    <x v="648"/>
    <s v="03-02-2024"/>
    <s v="C105"/>
    <s v="P201"/>
    <x v="3"/>
    <x v="0"/>
    <n v="9"/>
    <n v="894"/>
    <s v="Laptop"/>
    <x v="1"/>
    <n v="900"/>
    <x v="1"/>
    <x v="1"/>
    <n v="8046"/>
    <n v="-54"/>
  </r>
  <r>
    <x v="649"/>
    <s v="07-07-2024"/>
    <s v="C103"/>
    <s v="P204"/>
    <x v="3"/>
    <x v="2"/>
    <n v="5"/>
    <n v="1616"/>
    <s v="Desk"/>
    <x v="0"/>
    <n v="300"/>
    <x v="3"/>
    <x v="0"/>
    <n v="8080"/>
    <n v="6580"/>
  </r>
  <r>
    <x v="650"/>
    <s v="24-01-2024"/>
    <s v="C105"/>
    <s v="P202"/>
    <x v="3"/>
    <x v="2"/>
    <n v="10"/>
    <n v="1688"/>
    <s v="Printer"/>
    <x v="1"/>
    <n v="1100"/>
    <x v="1"/>
    <x v="1"/>
    <n v="16880"/>
    <n v="5880"/>
  </r>
  <r>
    <x v="651"/>
    <s v="13-05-2024"/>
    <s v="C101"/>
    <s v="P202"/>
    <x v="2"/>
    <x v="2"/>
    <n v="6"/>
    <n v="1468"/>
    <s v="Printer"/>
    <x v="1"/>
    <n v="1100"/>
    <x v="2"/>
    <x v="1"/>
    <n v="8808"/>
    <n v="2208"/>
  </r>
  <r>
    <x v="652"/>
    <s v="28-03-2024"/>
    <s v="C105"/>
    <s v="P202"/>
    <x v="1"/>
    <x v="3"/>
    <n v="1"/>
    <n v="1849"/>
    <s v="Printer"/>
    <x v="1"/>
    <n v="1100"/>
    <x v="1"/>
    <x v="1"/>
    <n v="1849"/>
    <n v="749"/>
  </r>
  <r>
    <x v="653"/>
    <s v="03-10-2024"/>
    <s v="C102"/>
    <s v="P204"/>
    <x v="0"/>
    <x v="2"/>
    <n v="1"/>
    <n v="1501"/>
    <s v="Desk"/>
    <x v="0"/>
    <n v="300"/>
    <x v="4"/>
    <x v="1"/>
    <n v="1501"/>
    <n v="1201"/>
  </r>
  <r>
    <x v="654"/>
    <s v="13-04-2024"/>
    <s v="C105"/>
    <s v="P203"/>
    <x v="0"/>
    <x v="1"/>
    <n v="1"/>
    <n v="1394"/>
    <s v="Mobile"/>
    <x v="1"/>
    <n v="600"/>
    <x v="1"/>
    <x v="1"/>
    <n v="1394"/>
    <n v="794"/>
  </r>
  <r>
    <x v="655"/>
    <s v="17-10-2024"/>
    <s v="C101"/>
    <s v="P204"/>
    <x v="1"/>
    <x v="2"/>
    <n v="2"/>
    <n v="1056"/>
    <s v="Desk"/>
    <x v="0"/>
    <n v="300"/>
    <x v="2"/>
    <x v="1"/>
    <n v="2112"/>
    <n v="1512"/>
  </r>
  <r>
    <x v="656"/>
    <s v="16-10-2024"/>
    <s v="C103"/>
    <s v="P204"/>
    <x v="0"/>
    <x v="3"/>
    <n v="10"/>
    <n v="1578"/>
    <s v="Desk"/>
    <x v="0"/>
    <n v="300"/>
    <x v="3"/>
    <x v="0"/>
    <n v="15780"/>
    <n v="12780"/>
  </r>
  <r>
    <x v="657"/>
    <s v="22-09-2024"/>
    <s v="C104"/>
    <s v="P205"/>
    <x v="2"/>
    <x v="3"/>
    <n v="3"/>
    <n v="1643"/>
    <s v="Chair"/>
    <x v="0"/>
    <n v="150"/>
    <x v="0"/>
    <x v="0"/>
    <n v="4929"/>
    <n v="4479"/>
  </r>
  <r>
    <x v="658"/>
    <s v="20-07-2024"/>
    <s v="C105"/>
    <s v="P204"/>
    <x v="0"/>
    <x v="1"/>
    <n v="10"/>
    <n v="1114"/>
    <s v="Desk"/>
    <x v="0"/>
    <n v="300"/>
    <x v="1"/>
    <x v="1"/>
    <n v="11140"/>
    <n v="8140"/>
  </r>
  <r>
    <x v="659"/>
    <s v="31-01-2024"/>
    <s v="C105"/>
    <s v="P202"/>
    <x v="1"/>
    <x v="3"/>
    <n v="1"/>
    <n v="1917"/>
    <s v="Printer"/>
    <x v="1"/>
    <n v="1100"/>
    <x v="1"/>
    <x v="1"/>
    <n v="1917"/>
    <n v="817"/>
  </r>
  <r>
    <x v="660"/>
    <s v="08-10-2024"/>
    <s v="C105"/>
    <s v="P202"/>
    <x v="2"/>
    <x v="0"/>
    <n v="8"/>
    <n v="1671"/>
    <s v="Printer"/>
    <x v="1"/>
    <n v="1100"/>
    <x v="1"/>
    <x v="1"/>
    <n v="13368"/>
    <n v="4568"/>
  </r>
  <r>
    <x v="661"/>
    <s v="04-06-2024"/>
    <s v="C102"/>
    <s v="P204"/>
    <x v="2"/>
    <x v="2"/>
    <n v="7"/>
    <n v="1192"/>
    <s v="Desk"/>
    <x v="0"/>
    <n v="300"/>
    <x v="4"/>
    <x v="1"/>
    <n v="8344"/>
    <n v="6244"/>
  </r>
  <r>
    <x v="662"/>
    <s v="27-09-2024"/>
    <s v="C101"/>
    <s v="P201"/>
    <x v="1"/>
    <x v="3"/>
    <n v="9"/>
    <n v="1019"/>
    <s v="Laptop"/>
    <x v="1"/>
    <n v="900"/>
    <x v="2"/>
    <x v="1"/>
    <n v="9171"/>
    <n v="1071"/>
  </r>
  <r>
    <x v="663"/>
    <s v="27-03-2024"/>
    <s v="C105"/>
    <s v="P203"/>
    <x v="0"/>
    <x v="2"/>
    <n v="7"/>
    <n v="1436"/>
    <s v="Mobile"/>
    <x v="1"/>
    <n v="600"/>
    <x v="1"/>
    <x v="1"/>
    <n v="10052"/>
    <n v="5852"/>
  </r>
  <r>
    <x v="664"/>
    <s v="13-12-2024"/>
    <s v="C102"/>
    <s v="P201"/>
    <x v="0"/>
    <x v="1"/>
    <n v="9"/>
    <n v="1445"/>
    <s v="Laptop"/>
    <x v="1"/>
    <n v="900"/>
    <x v="4"/>
    <x v="1"/>
    <n v="13005"/>
    <n v="4905"/>
  </r>
  <r>
    <x v="665"/>
    <s v="29-03-2024"/>
    <s v="C105"/>
    <s v="P201"/>
    <x v="1"/>
    <x v="0"/>
    <n v="4"/>
    <n v="1309"/>
    <s v="Laptop"/>
    <x v="1"/>
    <n v="900"/>
    <x v="1"/>
    <x v="1"/>
    <n v="5236"/>
    <n v="1636"/>
  </r>
  <r>
    <x v="666"/>
    <s v="20-04-2024"/>
    <s v="C104"/>
    <s v="P202"/>
    <x v="2"/>
    <x v="1"/>
    <n v="8"/>
    <n v="1060"/>
    <s v="Printer"/>
    <x v="1"/>
    <n v="1100"/>
    <x v="0"/>
    <x v="0"/>
    <n v="8480"/>
    <n v="-320"/>
  </r>
  <r>
    <x v="667"/>
    <s v="14-04-2024"/>
    <s v="C101"/>
    <s v="P201"/>
    <x v="0"/>
    <x v="0"/>
    <n v="8"/>
    <n v="871"/>
    <s v="Laptop"/>
    <x v="1"/>
    <n v="900"/>
    <x v="2"/>
    <x v="1"/>
    <n v="6968"/>
    <n v="-232"/>
  </r>
  <r>
    <x v="668"/>
    <s v="21-04-2024"/>
    <s v="C102"/>
    <s v="P205"/>
    <x v="2"/>
    <x v="0"/>
    <n v="7"/>
    <n v="880"/>
    <s v="Chair"/>
    <x v="0"/>
    <n v="150"/>
    <x v="4"/>
    <x v="1"/>
    <n v="6160"/>
    <n v="5110"/>
  </r>
  <r>
    <x v="669"/>
    <s v="19-11-2024"/>
    <s v="C101"/>
    <s v="P201"/>
    <x v="0"/>
    <x v="2"/>
    <n v="1"/>
    <n v="939"/>
    <s v="Laptop"/>
    <x v="1"/>
    <n v="900"/>
    <x v="2"/>
    <x v="1"/>
    <n v="939"/>
    <n v="39"/>
  </r>
  <r>
    <x v="670"/>
    <s v="21-01-2024"/>
    <s v="C104"/>
    <s v="P204"/>
    <x v="2"/>
    <x v="0"/>
    <n v="8"/>
    <n v="1657"/>
    <s v="Desk"/>
    <x v="0"/>
    <n v="300"/>
    <x v="0"/>
    <x v="0"/>
    <n v="13256"/>
    <n v="10856"/>
  </r>
  <r>
    <x v="671"/>
    <s v="04-02-2024"/>
    <s v="C105"/>
    <s v="P203"/>
    <x v="3"/>
    <x v="1"/>
    <n v="10"/>
    <n v="1772"/>
    <s v="Mobile"/>
    <x v="1"/>
    <n v="600"/>
    <x v="1"/>
    <x v="1"/>
    <n v="17720"/>
    <n v="11720"/>
  </r>
  <r>
    <x v="672"/>
    <s v="15-12-2024"/>
    <s v="C103"/>
    <s v="P202"/>
    <x v="2"/>
    <x v="3"/>
    <n v="9"/>
    <n v="1141"/>
    <s v="Printer"/>
    <x v="1"/>
    <n v="1100"/>
    <x v="3"/>
    <x v="0"/>
    <n v="10269"/>
    <n v="369"/>
  </r>
  <r>
    <x v="673"/>
    <s v="14-05-2024"/>
    <s v="C101"/>
    <s v="P203"/>
    <x v="0"/>
    <x v="0"/>
    <n v="7"/>
    <n v="1053"/>
    <s v="Mobile"/>
    <x v="1"/>
    <n v="600"/>
    <x v="2"/>
    <x v="1"/>
    <n v="7371"/>
    <n v="3171"/>
  </r>
  <r>
    <x v="674"/>
    <s v="26-05-2024"/>
    <s v="C101"/>
    <s v="P202"/>
    <x v="0"/>
    <x v="0"/>
    <n v="7"/>
    <n v="1357"/>
    <s v="Printer"/>
    <x v="1"/>
    <n v="1100"/>
    <x v="2"/>
    <x v="1"/>
    <n v="9499"/>
    <n v="1799"/>
  </r>
  <r>
    <x v="675"/>
    <s v="25-04-2024"/>
    <s v="C105"/>
    <s v="P201"/>
    <x v="2"/>
    <x v="1"/>
    <n v="4"/>
    <n v="815"/>
    <s v="Laptop"/>
    <x v="1"/>
    <n v="900"/>
    <x v="1"/>
    <x v="1"/>
    <n v="3260"/>
    <n v="-340"/>
  </r>
  <r>
    <x v="676"/>
    <s v="21-09-2024"/>
    <s v="C104"/>
    <s v="P203"/>
    <x v="3"/>
    <x v="0"/>
    <n v="10"/>
    <n v="1872"/>
    <s v="Mobile"/>
    <x v="1"/>
    <n v="600"/>
    <x v="0"/>
    <x v="0"/>
    <n v="18720"/>
    <n v="12720"/>
  </r>
  <r>
    <x v="677"/>
    <s v="16-02-2024"/>
    <s v="C103"/>
    <s v="P202"/>
    <x v="1"/>
    <x v="0"/>
    <n v="2"/>
    <n v="1052"/>
    <s v="Printer"/>
    <x v="1"/>
    <n v="1100"/>
    <x v="3"/>
    <x v="0"/>
    <n v="2104"/>
    <n v="-96"/>
  </r>
  <r>
    <x v="678"/>
    <s v="29-09-2024"/>
    <s v="C104"/>
    <s v="P205"/>
    <x v="1"/>
    <x v="0"/>
    <n v="10"/>
    <n v="1855"/>
    <s v="Chair"/>
    <x v="0"/>
    <n v="150"/>
    <x v="0"/>
    <x v="0"/>
    <n v="18550"/>
    <n v="17050"/>
  </r>
  <r>
    <x v="679"/>
    <s v="10-10-2024"/>
    <s v="C101"/>
    <s v="P203"/>
    <x v="0"/>
    <x v="0"/>
    <n v="7"/>
    <n v="1681"/>
    <s v="Mobile"/>
    <x v="1"/>
    <n v="600"/>
    <x v="2"/>
    <x v="1"/>
    <n v="11767"/>
    <n v="7567"/>
  </r>
  <r>
    <x v="680"/>
    <s v="02-06-2024"/>
    <s v="C105"/>
    <s v="P203"/>
    <x v="2"/>
    <x v="0"/>
    <n v="5"/>
    <n v="1880"/>
    <s v="Mobile"/>
    <x v="1"/>
    <n v="600"/>
    <x v="1"/>
    <x v="1"/>
    <n v="9400"/>
    <n v="6400"/>
  </r>
  <r>
    <x v="681"/>
    <s v="10-08-2024"/>
    <s v="C101"/>
    <s v="P202"/>
    <x v="3"/>
    <x v="2"/>
    <n v="1"/>
    <n v="1267"/>
    <s v="Printer"/>
    <x v="1"/>
    <n v="1100"/>
    <x v="2"/>
    <x v="1"/>
    <n v="1267"/>
    <n v="167"/>
  </r>
  <r>
    <x v="682"/>
    <s v="16-12-2024"/>
    <s v="C105"/>
    <s v="P201"/>
    <x v="2"/>
    <x v="2"/>
    <n v="1"/>
    <n v="1519"/>
    <s v="Laptop"/>
    <x v="1"/>
    <n v="900"/>
    <x v="1"/>
    <x v="1"/>
    <n v="1519"/>
    <n v="619"/>
  </r>
  <r>
    <x v="683"/>
    <s v="14-07-2024"/>
    <s v="C102"/>
    <s v="P204"/>
    <x v="3"/>
    <x v="1"/>
    <n v="2"/>
    <n v="1625"/>
    <s v="Desk"/>
    <x v="0"/>
    <n v="300"/>
    <x v="4"/>
    <x v="1"/>
    <n v="3250"/>
    <n v="2650"/>
  </r>
  <r>
    <x v="684"/>
    <s v="25-12-2024"/>
    <s v="C104"/>
    <s v="P204"/>
    <x v="2"/>
    <x v="0"/>
    <n v="5"/>
    <n v="1012"/>
    <s v="Desk"/>
    <x v="0"/>
    <n v="300"/>
    <x v="0"/>
    <x v="0"/>
    <n v="5060"/>
    <n v="3560"/>
  </r>
  <r>
    <x v="685"/>
    <s v="26-02-2024"/>
    <s v="C104"/>
    <s v="P202"/>
    <x v="1"/>
    <x v="0"/>
    <n v="6"/>
    <n v="1462"/>
    <s v="Printer"/>
    <x v="1"/>
    <n v="1100"/>
    <x v="0"/>
    <x v="0"/>
    <n v="8772"/>
    <n v="2172"/>
  </r>
  <r>
    <x v="686"/>
    <s v="19-02-2024"/>
    <s v="C105"/>
    <s v="P203"/>
    <x v="2"/>
    <x v="2"/>
    <n v="6"/>
    <n v="1029"/>
    <s v="Mobile"/>
    <x v="1"/>
    <n v="600"/>
    <x v="1"/>
    <x v="1"/>
    <n v="6174"/>
    <n v="2574"/>
  </r>
  <r>
    <x v="687"/>
    <s v="07-08-2024"/>
    <s v="C105"/>
    <s v="P203"/>
    <x v="2"/>
    <x v="3"/>
    <n v="4"/>
    <n v="1428"/>
    <s v="Mobile"/>
    <x v="1"/>
    <n v="600"/>
    <x v="1"/>
    <x v="1"/>
    <n v="5712"/>
    <n v="3312"/>
  </r>
  <r>
    <x v="688"/>
    <s v="28-02-2024"/>
    <s v="C104"/>
    <s v="P204"/>
    <x v="0"/>
    <x v="3"/>
    <n v="6"/>
    <n v="1296"/>
    <s v="Desk"/>
    <x v="0"/>
    <n v="300"/>
    <x v="0"/>
    <x v="0"/>
    <n v="7776"/>
    <n v="5976"/>
  </r>
  <r>
    <x v="689"/>
    <s v="10-10-2024"/>
    <s v="C105"/>
    <s v="P202"/>
    <x v="3"/>
    <x v="2"/>
    <n v="10"/>
    <n v="1590"/>
    <s v="Printer"/>
    <x v="1"/>
    <n v="1100"/>
    <x v="1"/>
    <x v="1"/>
    <n v="15900"/>
    <n v="4900"/>
  </r>
  <r>
    <x v="690"/>
    <s v="22-04-2024"/>
    <s v="C101"/>
    <s v="P202"/>
    <x v="3"/>
    <x v="2"/>
    <n v="4"/>
    <n v="1585"/>
    <s v="Printer"/>
    <x v="1"/>
    <n v="1100"/>
    <x v="2"/>
    <x v="1"/>
    <n v="6340"/>
    <n v="1940"/>
  </r>
  <r>
    <x v="691"/>
    <s v="31-12-2024"/>
    <s v="C102"/>
    <s v="P202"/>
    <x v="0"/>
    <x v="2"/>
    <n v="1"/>
    <n v="1865"/>
    <s v="Printer"/>
    <x v="1"/>
    <n v="1100"/>
    <x v="4"/>
    <x v="1"/>
    <n v="1865"/>
    <n v="765"/>
  </r>
  <r>
    <x v="692"/>
    <s v="15-01-2024"/>
    <s v="C101"/>
    <s v="P203"/>
    <x v="0"/>
    <x v="2"/>
    <n v="1"/>
    <n v="1748"/>
    <s v="Mobile"/>
    <x v="1"/>
    <n v="600"/>
    <x v="2"/>
    <x v="1"/>
    <n v="1748"/>
    <n v="1148"/>
  </r>
  <r>
    <x v="693"/>
    <s v="04-05-2024"/>
    <s v="C103"/>
    <s v="P204"/>
    <x v="3"/>
    <x v="1"/>
    <n v="2"/>
    <n v="1009"/>
    <s v="Desk"/>
    <x v="0"/>
    <n v="300"/>
    <x v="3"/>
    <x v="0"/>
    <n v="2018"/>
    <n v="1418"/>
  </r>
  <r>
    <x v="694"/>
    <s v="16-11-2024"/>
    <s v="C101"/>
    <s v="P202"/>
    <x v="2"/>
    <x v="0"/>
    <n v="7"/>
    <n v="1919"/>
    <s v="Printer"/>
    <x v="1"/>
    <n v="1100"/>
    <x v="2"/>
    <x v="1"/>
    <n v="13433"/>
    <n v="5733"/>
  </r>
  <r>
    <x v="695"/>
    <s v="19-09-2024"/>
    <s v="C103"/>
    <s v="P205"/>
    <x v="3"/>
    <x v="0"/>
    <n v="4"/>
    <n v="1910"/>
    <s v="Chair"/>
    <x v="0"/>
    <n v="150"/>
    <x v="3"/>
    <x v="0"/>
    <n v="7640"/>
    <n v="7040"/>
  </r>
  <r>
    <x v="696"/>
    <s v="07-01-2024"/>
    <s v="C104"/>
    <s v="P201"/>
    <x v="3"/>
    <x v="2"/>
    <n v="7"/>
    <n v="1473"/>
    <s v="Laptop"/>
    <x v="1"/>
    <n v="900"/>
    <x v="0"/>
    <x v="0"/>
    <n v="10311"/>
    <n v="4011"/>
  </r>
  <r>
    <x v="697"/>
    <s v="25-07-2024"/>
    <s v="C104"/>
    <s v="P201"/>
    <x v="2"/>
    <x v="1"/>
    <n v="3"/>
    <n v="1477"/>
    <s v="Laptop"/>
    <x v="1"/>
    <n v="900"/>
    <x v="0"/>
    <x v="0"/>
    <n v="4431"/>
    <n v="1731"/>
  </r>
  <r>
    <x v="698"/>
    <s v="04-05-2024"/>
    <s v="C101"/>
    <s v="P204"/>
    <x v="1"/>
    <x v="1"/>
    <n v="4"/>
    <n v="1571"/>
    <s v="Desk"/>
    <x v="0"/>
    <n v="300"/>
    <x v="2"/>
    <x v="1"/>
    <n v="6284"/>
    <n v="5084"/>
  </r>
  <r>
    <x v="699"/>
    <s v="13-06-2024"/>
    <s v="C104"/>
    <s v="P201"/>
    <x v="3"/>
    <x v="2"/>
    <n v="6"/>
    <n v="1253"/>
    <s v="Laptop"/>
    <x v="1"/>
    <n v="900"/>
    <x v="0"/>
    <x v="0"/>
    <n v="7518"/>
    <n v="2118"/>
  </r>
  <r>
    <x v="700"/>
    <s v="01-02-2024"/>
    <s v="C104"/>
    <s v="P204"/>
    <x v="2"/>
    <x v="0"/>
    <n v="5"/>
    <n v="1054"/>
    <s v="Desk"/>
    <x v="0"/>
    <n v="300"/>
    <x v="0"/>
    <x v="0"/>
    <n v="5270"/>
    <n v="3770"/>
  </r>
  <r>
    <x v="701"/>
    <s v="28-07-2024"/>
    <s v="C101"/>
    <s v="P202"/>
    <x v="2"/>
    <x v="2"/>
    <n v="4"/>
    <n v="1299"/>
    <s v="Printer"/>
    <x v="1"/>
    <n v="1100"/>
    <x v="2"/>
    <x v="1"/>
    <n v="5196"/>
    <n v="796"/>
  </r>
  <r>
    <x v="702"/>
    <s v="31-10-2024"/>
    <s v="C101"/>
    <s v="P202"/>
    <x v="2"/>
    <x v="3"/>
    <n v="8"/>
    <n v="1401"/>
    <s v="Printer"/>
    <x v="1"/>
    <n v="1100"/>
    <x v="2"/>
    <x v="1"/>
    <n v="11208"/>
    <n v="2408"/>
  </r>
  <r>
    <x v="703"/>
    <s v="06-01-2024"/>
    <s v="C104"/>
    <s v="P202"/>
    <x v="1"/>
    <x v="2"/>
    <n v="2"/>
    <n v="1504"/>
    <s v="Printer"/>
    <x v="1"/>
    <n v="1100"/>
    <x v="0"/>
    <x v="0"/>
    <n v="3008"/>
    <n v="808"/>
  </r>
  <r>
    <x v="704"/>
    <s v="02-04-2024"/>
    <s v="C104"/>
    <s v="P203"/>
    <x v="1"/>
    <x v="2"/>
    <n v="7"/>
    <n v="1431"/>
    <s v="Mobile"/>
    <x v="1"/>
    <n v="600"/>
    <x v="0"/>
    <x v="0"/>
    <n v="10017"/>
    <n v="5817"/>
  </r>
  <r>
    <x v="705"/>
    <s v="20-01-2024"/>
    <s v="C102"/>
    <s v="P202"/>
    <x v="0"/>
    <x v="0"/>
    <n v="1"/>
    <n v="1116"/>
    <s v="Printer"/>
    <x v="1"/>
    <n v="1100"/>
    <x v="4"/>
    <x v="1"/>
    <n v="1116"/>
    <n v="16"/>
  </r>
  <r>
    <x v="706"/>
    <s v="20-02-2024"/>
    <s v="C104"/>
    <s v="P201"/>
    <x v="1"/>
    <x v="0"/>
    <n v="6"/>
    <n v="1747"/>
    <s v="Laptop"/>
    <x v="1"/>
    <n v="900"/>
    <x v="0"/>
    <x v="0"/>
    <n v="10482"/>
    <n v="5082"/>
  </r>
  <r>
    <x v="707"/>
    <s v="06-01-2024"/>
    <s v="C105"/>
    <s v="P205"/>
    <x v="3"/>
    <x v="2"/>
    <n v="5"/>
    <n v="1983"/>
    <s v="Chair"/>
    <x v="0"/>
    <n v="150"/>
    <x v="1"/>
    <x v="1"/>
    <n v="9915"/>
    <n v="9165"/>
  </r>
  <r>
    <x v="708"/>
    <s v="28-02-2024"/>
    <s v="C105"/>
    <s v="P205"/>
    <x v="1"/>
    <x v="1"/>
    <n v="1"/>
    <n v="1518"/>
    <s v="Chair"/>
    <x v="0"/>
    <n v="150"/>
    <x v="1"/>
    <x v="1"/>
    <n v="1518"/>
    <n v="1368"/>
  </r>
  <r>
    <x v="709"/>
    <s v="31-05-2024"/>
    <s v="C101"/>
    <s v="P205"/>
    <x v="0"/>
    <x v="2"/>
    <n v="10"/>
    <n v="918"/>
    <s v="Chair"/>
    <x v="0"/>
    <n v="150"/>
    <x v="2"/>
    <x v="1"/>
    <n v="9180"/>
    <n v="7680"/>
  </r>
  <r>
    <x v="710"/>
    <s v="27-05-2024"/>
    <s v="C102"/>
    <s v="P205"/>
    <x v="2"/>
    <x v="2"/>
    <n v="2"/>
    <n v="1877"/>
    <s v="Chair"/>
    <x v="0"/>
    <n v="150"/>
    <x v="4"/>
    <x v="1"/>
    <n v="3754"/>
    <n v="3454"/>
  </r>
  <r>
    <x v="711"/>
    <s v="30-03-2024"/>
    <s v="C104"/>
    <s v="P202"/>
    <x v="0"/>
    <x v="3"/>
    <n v="7"/>
    <n v="1201"/>
    <s v="Printer"/>
    <x v="1"/>
    <n v="1100"/>
    <x v="0"/>
    <x v="0"/>
    <n v="8407"/>
    <n v="707"/>
  </r>
  <r>
    <x v="712"/>
    <s v="14-02-2024"/>
    <s v="C103"/>
    <s v="P204"/>
    <x v="0"/>
    <x v="2"/>
    <n v="8"/>
    <n v="1764"/>
    <s v="Desk"/>
    <x v="0"/>
    <n v="300"/>
    <x v="3"/>
    <x v="0"/>
    <n v="14112"/>
    <n v="11712"/>
  </r>
  <r>
    <x v="713"/>
    <s v="04-03-2024"/>
    <s v="C102"/>
    <s v="P204"/>
    <x v="1"/>
    <x v="2"/>
    <n v="3"/>
    <n v="1264"/>
    <s v="Desk"/>
    <x v="0"/>
    <n v="300"/>
    <x v="4"/>
    <x v="1"/>
    <n v="3792"/>
    <n v="2892"/>
  </r>
  <r>
    <x v="714"/>
    <s v="31-12-2024"/>
    <s v="C103"/>
    <s v="P201"/>
    <x v="2"/>
    <x v="0"/>
    <n v="4"/>
    <n v="1531"/>
    <s v="Laptop"/>
    <x v="1"/>
    <n v="900"/>
    <x v="3"/>
    <x v="0"/>
    <n v="6124"/>
    <n v="2524"/>
  </r>
  <r>
    <x v="715"/>
    <s v="19-11-2024"/>
    <s v="C101"/>
    <s v="P204"/>
    <x v="0"/>
    <x v="0"/>
    <n v="9"/>
    <n v="1805"/>
    <s v="Desk"/>
    <x v="0"/>
    <n v="300"/>
    <x v="2"/>
    <x v="1"/>
    <n v="16245"/>
    <n v="13545"/>
  </r>
  <r>
    <x v="716"/>
    <s v="10-08-2024"/>
    <s v="C105"/>
    <s v="P203"/>
    <x v="3"/>
    <x v="3"/>
    <n v="5"/>
    <n v="932"/>
    <s v="Mobile"/>
    <x v="1"/>
    <n v="600"/>
    <x v="1"/>
    <x v="1"/>
    <n v="4660"/>
    <n v="1660"/>
  </r>
  <r>
    <x v="717"/>
    <s v="24-06-2024"/>
    <s v="C102"/>
    <s v="P204"/>
    <x v="0"/>
    <x v="3"/>
    <n v="1"/>
    <n v="1090"/>
    <s v="Desk"/>
    <x v="0"/>
    <n v="300"/>
    <x v="4"/>
    <x v="1"/>
    <n v="1090"/>
    <n v="790"/>
  </r>
  <r>
    <x v="718"/>
    <s v="24-09-2024"/>
    <s v="C104"/>
    <s v="P203"/>
    <x v="0"/>
    <x v="1"/>
    <n v="6"/>
    <n v="1302"/>
    <s v="Mobile"/>
    <x v="1"/>
    <n v="600"/>
    <x v="0"/>
    <x v="0"/>
    <n v="7812"/>
    <n v="4212"/>
  </r>
  <r>
    <x v="719"/>
    <s v="31-08-2024"/>
    <s v="C105"/>
    <s v="P202"/>
    <x v="2"/>
    <x v="2"/>
    <n v="5"/>
    <n v="1564"/>
    <s v="Printer"/>
    <x v="1"/>
    <n v="1100"/>
    <x v="1"/>
    <x v="1"/>
    <n v="7820"/>
    <n v="2320"/>
  </r>
  <r>
    <x v="720"/>
    <s v="25-10-2024"/>
    <s v="C102"/>
    <s v="P202"/>
    <x v="1"/>
    <x v="0"/>
    <n v="7"/>
    <n v="1634"/>
    <s v="Printer"/>
    <x v="1"/>
    <n v="1100"/>
    <x v="4"/>
    <x v="1"/>
    <n v="11438"/>
    <n v="3738"/>
  </r>
  <r>
    <x v="721"/>
    <s v="01-11-2024"/>
    <s v="C105"/>
    <s v="P205"/>
    <x v="0"/>
    <x v="3"/>
    <n v="10"/>
    <n v="1841"/>
    <s v="Chair"/>
    <x v="0"/>
    <n v="150"/>
    <x v="1"/>
    <x v="1"/>
    <n v="18410"/>
    <n v="16910"/>
  </r>
  <r>
    <x v="722"/>
    <s v="12-03-2024"/>
    <s v="C101"/>
    <s v="P204"/>
    <x v="1"/>
    <x v="1"/>
    <n v="9"/>
    <n v="971"/>
    <s v="Desk"/>
    <x v="0"/>
    <n v="300"/>
    <x v="2"/>
    <x v="1"/>
    <n v="8739"/>
    <n v="6039"/>
  </r>
  <r>
    <x v="723"/>
    <s v="28-08-2024"/>
    <s v="C104"/>
    <s v="P205"/>
    <x v="0"/>
    <x v="0"/>
    <n v="9"/>
    <n v="1172"/>
    <s v="Chair"/>
    <x v="0"/>
    <n v="150"/>
    <x v="0"/>
    <x v="0"/>
    <n v="10548"/>
    <n v="9198"/>
  </r>
  <r>
    <x v="724"/>
    <s v="13-03-2024"/>
    <s v="C103"/>
    <s v="P205"/>
    <x v="2"/>
    <x v="2"/>
    <n v="6"/>
    <n v="1785"/>
    <s v="Chair"/>
    <x v="0"/>
    <n v="150"/>
    <x v="3"/>
    <x v="0"/>
    <n v="10710"/>
    <n v="9810"/>
  </r>
  <r>
    <x v="725"/>
    <s v="28-09-2024"/>
    <s v="C104"/>
    <s v="P202"/>
    <x v="2"/>
    <x v="3"/>
    <n v="1"/>
    <n v="923"/>
    <s v="Printer"/>
    <x v="1"/>
    <n v="1100"/>
    <x v="0"/>
    <x v="0"/>
    <n v="923"/>
    <n v="-177"/>
  </r>
  <r>
    <x v="726"/>
    <s v="28-01-2024"/>
    <s v="C102"/>
    <s v="P202"/>
    <x v="0"/>
    <x v="2"/>
    <n v="10"/>
    <n v="1057"/>
    <s v="Printer"/>
    <x v="1"/>
    <n v="1100"/>
    <x v="4"/>
    <x v="1"/>
    <n v="10570"/>
    <n v="-430"/>
  </r>
  <r>
    <x v="727"/>
    <s v="25-02-2024"/>
    <s v="C105"/>
    <s v="P205"/>
    <x v="1"/>
    <x v="3"/>
    <n v="10"/>
    <n v="1245"/>
    <s v="Chair"/>
    <x v="0"/>
    <n v="150"/>
    <x v="1"/>
    <x v="1"/>
    <n v="12450"/>
    <n v="10950"/>
  </r>
  <r>
    <x v="728"/>
    <s v="31-10-2024"/>
    <s v="C101"/>
    <s v="P202"/>
    <x v="2"/>
    <x v="2"/>
    <n v="3"/>
    <n v="1472"/>
    <s v="Printer"/>
    <x v="1"/>
    <n v="1100"/>
    <x v="2"/>
    <x v="1"/>
    <n v="4416"/>
    <n v="1116"/>
  </r>
  <r>
    <x v="729"/>
    <s v="12-05-2024"/>
    <s v="C105"/>
    <s v="P203"/>
    <x v="1"/>
    <x v="3"/>
    <n v="2"/>
    <n v="939"/>
    <s v="Mobile"/>
    <x v="1"/>
    <n v="600"/>
    <x v="1"/>
    <x v="1"/>
    <n v="1878"/>
    <n v="678"/>
  </r>
  <r>
    <x v="730"/>
    <s v="06-09-2024"/>
    <s v="C103"/>
    <s v="P204"/>
    <x v="2"/>
    <x v="2"/>
    <n v="8"/>
    <n v="1770"/>
    <s v="Desk"/>
    <x v="0"/>
    <n v="300"/>
    <x v="3"/>
    <x v="0"/>
    <n v="14160"/>
    <n v="11760"/>
  </r>
  <r>
    <x v="731"/>
    <s v="05-07-2024"/>
    <s v="C104"/>
    <s v="P205"/>
    <x v="1"/>
    <x v="2"/>
    <n v="9"/>
    <n v="1176"/>
    <s v="Chair"/>
    <x v="0"/>
    <n v="150"/>
    <x v="0"/>
    <x v="0"/>
    <n v="10584"/>
    <n v="9234"/>
  </r>
  <r>
    <x v="732"/>
    <s v="15-03-2024"/>
    <s v="C102"/>
    <s v="P204"/>
    <x v="0"/>
    <x v="2"/>
    <n v="3"/>
    <n v="1771"/>
    <s v="Desk"/>
    <x v="0"/>
    <n v="300"/>
    <x v="4"/>
    <x v="1"/>
    <n v="5313"/>
    <n v="4413"/>
  </r>
  <r>
    <x v="733"/>
    <s v="01-06-2024"/>
    <s v="C104"/>
    <s v="P201"/>
    <x v="1"/>
    <x v="2"/>
    <n v="5"/>
    <n v="1511"/>
    <s v="Laptop"/>
    <x v="1"/>
    <n v="900"/>
    <x v="0"/>
    <x v="0"/>
    <n v="7555"/>
    <n v="3055"/>
  </r>
  <r>
    <x v="734"/>
    <s v="12-10-2024"/>
    <s v="C104"/>
    <s v="P203"/>
    <x v="2"/>
    <x v="3"/>
    <n v="4"/>
    <n v="1079"/>
    <s v="Mobile"/>
    <x v="1"/>
    <n v="600"/>
    <x v="0"/>
    <x v="0"/>
    <n v="4316"/>
    <n v="1916"/>
  </r>
  <r>
    <x v="735"/>
    <s v="10-01-2024"/>
    <s v="C103"/>
    <s v="P204"/>
    <x v="0"/>
    <x v="0"/>
    <n v="4"/>
    <n v="1475"/>
    <s v="Desk"/>
    <x v="0"/>
    <n v="300"/>
    <x v="3"/>
    <x v="0"/>
    <n v="5900"/>
    <n v="4700"/>
  </r>
  <r>
    <x v="736"/>
    <s v="07-12-2024"/>
    <s v="C101"/>
    <s v="P201"/>
    <x v="2"/>
    <x v="0"/>
    <n v="5"/>
    <n v="1170"/>
    <s v="Laptop"/>
    <x v="1"/>
    <n v="900"/>
    <x v="2"/>
    <x v="1"/>
    <n v="5850"/>
    <n v="1350"/>
  </r>
  <r>
    <x v="737"/>
    <s v="05-03-2024"/>
    <s v="C103"/>
    <s v="P201"/>
    <x v="3"/>
    <x v="1"/>
    <n v="10"/>
    <n v="1319"/>
    <s v="Laptop"/>
    <x v="1"/>
    <n v="900"/>
    <x v="3"/>
    <x v="0"/>
    <n v="13190"/>
    <n v="4190"/>
  </r>
  <r>
    <x v="738"/>
    <s v="29-02-2024"/>
    <s v="C103"/>
    <s v="P205"/>
    <x v="3"/>
    <x v="2"/>
    <n v="7"/>
    <n v="1499"/>
    <s v="Chair"/>
    <x v="0"/>
    <n v="150"/>
    <x v="3"/>
    <x v="0"/>
    <n v="10493"/>
    <n v="9443"/>
  </r>
  <r>
    <x v="739"/>
    <s v="04-05-2024"/>
    <s v="C102"/>
    <s v="P201"/>
    <x v="3"/>
    <x v="0"/>
    <n v="6"/>
    <n v="1122"/>
    <s v="Laptop"/>
    <x v="1"/>
    <n v="900"/>
    <x v="4"/>
    <x v="1"/>
    <n v="6732"/>
    <n v="1332"/>
  </r>
  <r>
    <x v="740"/>
    <s v="07-07-2024"/>
    <s v="C104"/>
    <s v="P203"/>
    <x v="2"/>
    <x v="1"/>
    <n v="3"/>
    <n v="1185"/>
    <s v="Mobile"/>
    <x v="1"/>
    <n v="600"/>
    <x v="0"/>
    <x v="0"/>
    <n v="3555"/>
    <n v="1755"/>
  </r>
  <r>
    <x v="741"/>
    <s v="09-05-2024"/>
    <s v="C101"/>
    <s v="P202"/>
    <x v="1"/>
    <x v="3"/>
    <n v="2"/>
    <n v="1227"/>
    <s v="Printer"/>
    <x v="1"/>
    <n v="1100"/>
    <x v="2"/>
    <x v="1"/>
    <n v="2454"/>
    <n v="254"/>
  </r>
  <r>
    <x v="742"/>
    <s v="20-05-2024"/>
    <s v="C104"/>
    <s v="P203"/>
    <x v="2"/>
    <x v="0"/>
    <n v="4"/>
    <n v="1177"/>
    <s v="Mobile"/>
    <x v="1"/>
    <n v="600"/>
    <x v="0"/>
    <x v="0"/>
    <n v="4708"/>
    <n v="2308"/>
  </r>
  <r>
    <x v="743"/>
    <s v="19-02-2024"/>
    <s v="C105"/>
    <s v="P204"/>
    <x v="3"/>
    <x v="1"/>
    <n v="9"/>
    <n v="1159"/>
    <s v="Desk"/>
    <x v="0"/>
    <n v="300"/>
    <x v="1"/>
    <x v="1"/>
    <n v="10431"/>
    <n v="7731"/>
  </r>
  <r>
    <x v="744"/>
    <s v="02-05-2024"/>
    <s v="C101"/>
    <s v="P202"/>
    <x v="0"/>
    <x v="1"/>
    <n v="10"/>
    <n v="975"/>
    <s v="Printer"/>
    <x v="1"/>
    <n v="1100"/>
    <x v="2"/>
    <x v="1"/>
    <n v="9750"/>
    <n v="-1250"/>
  </r>
  <r>
    <x v="745"/>
    <s v="10-11-2024"/>
    <s v="C101"/>
    <s v="P205"/>
    <x v="0"/>
    <x v="1"/>
    <n v="5"/>
    <n v="1637"/>
    <s v="Chair"/>
    <x v="0"/>
    <n v="150"/>
    <x v="2"/>
    <x v="1"/>
    <n v="8185"/>
    <n v="7435"/>
  </r>
  <r>
    <x v="746"/>
    <s v="16-05-2024"/>
    <s v="C103"/>
    <s v="P204"/>
    <x v="3"/>
    <x v="0"/>
    <n v="1"/>
    <n v="1549"/>
    <s v="Desk"/>
    <x v="0"/>
    <n v="300"/>
    <x v="3"/>
    <x v="0"/>
    <n v="1549"/>
    <n v="1249"/>
  </r>
  <r>
    <x v="747"/>
    <s v="29-10-2024"/>
    <s v="C101"/>
    <s v="P202"/>
    <x v="0"/>
    <x v="1"/>
    <n v="8"/>
    <n v="1255"/>
    <s v="Printer"/>
    <x v="1"/>
    <n v="1100"/>
    <x v="2"/>
    <x v="1"/>
    <n v="10040"/>
    <n v="1240"/>
  </r>
  <r>
    <x v="748"/>
    <s v="21-04-2024"/>
    <s v="C101"/>
    <s v="P204"/>
    <x v="0"/>
    <x v="0"/>
    <n v="3"/>
    <n v="1973"/>
    <s v="Desk"/>
    <x v="0"/>
    <n v="300"/>
    <x v="2"/>
    <x v="1"/>
    <n v="5919"/>
    <n v="5019"/>
  </r>
  <r>
    <x v="749"/>
    <s v="16-05-2024"/>
    <s v="C102"/>
    <s v="P204"/>
    <x v="1"/>
    <x v="1"/>
    <n v="3"/>
    <n v="1510"/>
    <s v="Desk"/>
    <x v="0"/>
    <n v="300"/>
    <x v="4"/>
    <x v="1"/>
    <n v="4530"/>
    <n v="3630"/>
  </r>
  <r>
    <x v="750"/>
    <s v="11-05-2024"/>
    <s v="C104"/>
    <s v="P203"/>
    <x v="1"/>
    <x v="3"/>
    <n v="6"/>
    <n v="1513"/>
    <s v="Mobile"/>
    <x v="1"/>
    <n v="600"/>
    <x v="0"/>
    <x v="0"/>
    <n v="9078"/>
    <n v="5478"/>
  </r>
  <r>
    <x v="751"/>
    <s v="14-12-2024"/>
    <s v="C101"/>
    <s v="P205"/>
    <x v="3"/>
    <x v="0"/>
    <n v="9"/>
    <n v="1426"/>
    <s v="Chair"/>
    <x v="0"/>
    <n v="150"/>
    <x v="2"/>
    <x v="1"/>
    <n v="12834"/>
    <n v="11484"/>
  </r>
  <r>
    <x v="752"/>
    <s v="21-02-2024"/>
    <s v="C104"/>
    <s v="P203"/>
    <x v="3"/>
    <x v="0"/>
    <n v="1"/>
    <n v="1537"/>
    <s v="Mobile"/>
    <x v="1"/>
    <n v="600"/>
    <x v="0"/>
    <x v="0"/>
    <n v="1537"/>
    <n v="937"/>
  </r>
  <r>
    <x v="753"/>
    <s v="27-08-2024"/>
    <s v="C105"/>
    <s v="P204"/>
    <x v="1"/>
    <x v="1"/>
    <n v="5"/>
    <n v="1154"/>
    <s v="Desk"/>
    <x v="0"/>
    <n v="300"/>
    <x v="1"/>
    <x v="1"/>
    <n v="5770"/>
    <n v="4270"/>
  </r>
  <r>
    <x v="754"/>
    <s v="04-08-2024"/>
    <s v="C105"/>
    <s v="P205"/>
    <x v="2"/>
    <x v="1"/>
    <n v="5"/>
    <n v="877"/>
    <s v="Chair"/>
    <x v="0"/>
    <n v="150"/>
    <x v="1"/>
    <x v="1"/>
    <n v="4385"/>
    <n v="3635"/>
  </r>
  <r>
    <x v="755"/>
    <s v="02-07-2024"/>
    <s v="C103"/>
    <s v="P203"/>
    <x v="0"/>
    <x v="2"/>
    <n v="2"/>
    <n v="1079"/>
    <s v="Mobile"/>
    <x v="1"/>
    <n v="600"/>
    <x v="3"/>
    <x v="0"/>
    <n v="2158"/>
    <n v="958"/>
  </r>
  <r>
    <x v="756"/>
    <s v="12-09-2024"/>
    <s v="C104"/>
    <s v="P203"/>
    <x v="2"/>
    <x v="1"/>
    <n v="7"/>
    <n v="1631"/>
    <s v="Mobile"/>
    <x v="1"/>
    <n v="600"/>
    <x v="0"/>
    <x v="0"/>
    <n v="11417"/>
    <n v="7217"/>
  </r>
  <r>
    <x v="757"/>
    <s v="15-08-2024"/>
    <s v="C101"/>
    <s v="P205"/>
    <x v="3"/>
    <x v="0"/>
    <n v="6"/>
    <n v="1483"/>
    <s v="Chair"/>
    <x v="0"/>
    <n v="150"/>
    <x v="2"/>
    <x v="1"/>
    <n v="8898"/>
    <n v="7998"/>
  </r>
  <r>
    <x v="758"/>
    <s v="22-02-2024"/>
    <s v="C105"/>
    <s v="P203"/>
    <x v="1"/>
    <x v="1"/>
    <n v="2"/>
    <n v="1604"/>
    <s v="Mobile"/>
    <x v="1"/>
    <n v="600"/>
    <x v="1"/>
    <x v="1"/>
    <n v="3208"/>
    <n v="2008"/>
  </r>
  <r>
    <x v="759"/>
    <s v="07-05-2024"/>
    <s v="C101"/>
    <s v="P202"/>
    <x v="1"/>
    <x v="0"/>
    <n v="6"/>
    <n v="1714"/>
    <s v="Printer"/>
    <x v="1"/>
    <n v="1100"/>
    <x v="2"/>
    <x v="1"/>
    <n v="10284"/>
    <n v="3684"/>
  </r>
  <r>
    <x v="760"/>
    <s v="23-03-2024"/>
    <s v="C104"/>
    <s v="P203"/>
    <x v="3"/>
    <x v="3"/>
    <n v="8"/>
    <n v="1043"/>
    <s v="Mobile"/>
    <x v="1"/>
    <n v="600"/>
    <x v="0"/>
    <x v="0"/>
    <n v="8344"/>
    <n v="3544"/>
  </r>
  <r>
    <x v="761"/>
    <s v="06-12-2024"/>
    <s v="C105"/>
    <s v="P204"/>
    <x v="0"/>
    <x v="3"/>
    <n v="6"/>
    <n v="1036"/>
    <s v="Desk"/>
    <x v="0"/>
    <n v="300"/>
    <x v="1"/>
    <x v="1"/>
    <n v="6216"/>
    <n v="4416"/>
  </r>
  <r>
    <x v="762"/>
    <s v="10-05-2024"/>
    <s v="C102"/>
    <s v="P203"/>
    <x v="0"/>
    <x v="3"/>
    <n v="5"/>
    <n v="1676"/>
    <s v="Mobile"/>
    <x v="1"/>
    <n v="600"/>
    <x v="4"/>
    <x v="1"/>
    <n v="8380"/>
    <n v="5380"/>
  </r>
  <r>
    <x v="763"/>
    <s v="28-05-2024"/>
    <s v="C103"/>
    <s v="P205"/>
    <x v="1"/>
    <x v="3"/>
    <n v="1"/>
    <n v="1090"/>
    <s v="Chair"/>
    <x v="0"/>
    <n v="150"/>
    <x v="3"/>
    <x v="0"/>
    <n v="1090"/>
    <n v="940"/>
  </r>
  <r>
    <x v="764"/>
    <s v="07-05-2024"/>
    <s v="C103"/>
    <s v="P201"/>
    <x v="2"/>
    <x v="2"/>
    <n v="2"/>
    <n v="1520"/>
    <s v="Laptop"/>
    <x v="1"/>
    <n v="900"/>
    <x v="3"/>
    <x v="0"/>
    <n v="3040"/>
    <n v="1240"/>
  </r>
  <r>
    <x v="765"/>
    <s v="15-08-2024"/>
    <s v="C103"/>
    <s v="P205"/>
    <x v="0"/>
    <x v="1"/>
    <n v="10"/>
    <n v="1796"/>
    <s v="Chair"/>
    <x v="0"/>
    <n v="150"/>
    <x v="3"/>
    <x v="0"/>
    <n v="17960"/>
    <n v="16460"/>
  </r>
  <r>
    <x v="766"/>
    <s v="10-09-2024"/>
    <s v="C101"/>
    <s v="P204"/>
    <x v="2"/>
    <x v="2"/>
    <n v="7"/>
    <n v="1370"/>
    <s v="Desk"/>
    <x v="0"/>
    <n v="300"/>
    <x v="2"/>
    <x v="1"/>
    <n v="9590"/>
    <n v="7490"/>
  </r>
  <r>
    <x v="767"/>
    <s v="21-12-2024"/>
    <s v="C105"/>
    <s v="P205"/>
    <x v="3"/>
    <x v="0"/>
    <n v="10"/>
    <n v="1336"/>
    <s v="Chair"/>
    <x v="0"/>
    <n v="150"/>
    <x v="1"/>
    <x v="1"/>
    <n v="13360"/>
    <n v="11860"/>
  </r>
  <r>
    <x v="768"/>
    <s v="16-12-2024"/>
    <s v="C103"/>
    <s v="P201"/>
    <x v="1"/>
    <x v="3"/>
    <n v="7"/>
    <n v="1155"/>
    <s v="Laptop"/>
    <x v="1"/>
    <n v="900"/>
    <x v="3"/>
    <x v="0"/>
    <n v="8085"/>
    <n v="1785"/>
  </r>
  <r>
    <x v="769"/>
    <s v="18-06-2024"/>
    <s v="C105"/>
    <s v="P205"/>
    <x v="1"/>
    <x v="0"/>
    <n v="9"/>
    <n v="1503"/>
    <s v="Chair"/>
    <x v="0"/>
    <n v="150"/>
    <x v="1"/>
    <x v="1"/>
    <n v="13527"/>
    <n v="12177"/>
  </r>
  <r>
    <x v="770"/>
    <s v="20-06-2024"/>
    <s v="C103"/>
    <s v="P201"/>
    <x v="1"/>
    <x v="2"/>
    <n v="7"/>
    <n v="923"/>
    <s v="Laptop"/>
    <x v="1"/>
    <n v="900"/>
    <x v="3"/>
    <x v="0"/>
    <n v="6461"/>
    <n v="161"/>
  </r>
  <r>
    <x v="771"/>
    <s v="28-03-2024"/>
    <s v="C104"/>
    <s v="P204"/>
    <x v="0"/>
    <x v="0"/>
    <n v="8"/>
    <n v="1583"/>
    <s v="Desk"/>
    <x v="0"/>
    <n v="300"/>
    <x v="0"/>
    <x v="0"/>
    <n v="12664"/>
    <n v="10264"/>
  </r>
  <r>
    <x v="772"/>
    <s v="29-08-2024"/>
    <s v="C103"/>
    <s v="P203"/>
    <x v="0"/>
    <x v="2"/>
    <n v="3"/>
    <n v="1151"/>
    <s v="Mobile"/>
    <x v="1"/>
    <n v="600"/>
    <x v="3"/>
    <x v="0"/>
    <n v="3453"/>
    <n v="1653"/>
  </r>
  <r>
    <x v="773"/>
    <s v="23-11-2024"/>
    <s v="C102"/>
    <s v="P202"/>
    <x v="0"/>
    <x v="2"/>
    <n v="3"/>
    <n v="1656"/>
    <s v="Printer"/>
    <x v="1"/>
    <n v="1100"/>
    <x v="4"/>
    <x v="1"/>
    <n v="4968"/>
    <n v="1668"/>
  </r>
  <r>
    <x v="774"/>
    <s v="02-11-2024"/>
    <s v="C103"/>
    <s v="P201"/>
    <x v="2"/>
    <x v="0"/>
    <n v="3"/>
    <n v="1580"/>
    <s v="Laptop"/>
    <x v="1"/>
    <n v="900"/>
    <x v="3"/>
    <x v="0"/>
    <n v="4740"/>
    <n v="2040"/>
  </r>
  <r>
    <x v="775"/>
    <s v="17-12-2024"/>
    <s v="C104"/>
    <s v="P204"/>
    <x v="2"/>
    <x v="3"/>
    <n v="10"/>
    <n v="1370"/>
    <s v="Desk"/>
    <x v="0"/>
    <n v="300"/>
    <x v="0"/>
    <x v="0"/>
    <n v="13700"/>
    <n v="10700"/>
  </r>
  <r>
    <x v="776"/>
    <s v="03-06-2024"/>
    <s v="C104"/>
    <s v="P203"/>
    <x v="2"/>
    <x v="0"/>
    <n v="1"/>
    <n v="1580"/>
    <s v="Mobile"/>
    <x v="1"/>
    <n v="600"/>
    <x v="0"/>
    <x v="0"/>
    <n v="1580"/>
    <n v="980"/>
  </r>
  <r>
    <x v="777"/>
    <s v="28-03-2024"/>
    <s v="C101"/>
    <s v="P203"/>
    <x v="3"/>
    <x v="2"/>
    <n v="3"/>
    <n v="857"/>
    <s v="Mobile"/>
    <x v="1"/>
    <n v="600"/>
    <x v="2"/>
    <x v="1"/>
    <n v="2571"/>
    <n v="771"/>
  </r>
  <r>
    <x v="778"/>
    <s v="10-11-2024"/>
    <s v="C102"/>
    <s v="P202"/>
    <x v="1"/>
    <x v="0"/>
    <n v="10"/>
    <n v="842"/>
    <s v="Printer"/>
    <x v="1"/>
    <n v="1100"/>
    <x v="4"/>
    <x v="1"/>
    <n v="8420"/>
    <n v="-2580"/>
  </r>
  <r>
    <x v="779"/>
    <s v="09-11-2024"/>
    <s v="C101"/>
    <s v="P201"/>
    <x v="3"/>
    <x v="3"/>
    <n v="7"/>
    <n v="1966"/>
    <s v="Laptop"/>
    <x v="1"/>
    <n v="900"/>
    <x v="2"/>
    <x v="1"/>
    <n v="13762"/>
    <n v="7462"/>
  </r>
  <r>
    <x v="780"/>
    <s v="21-11-2024"/>
    <s v="C105"/>
    <s v="P204"/>
    <x v="3"/>
    <x v="3"/>
    <n v="8"/>
    <n v="1352"/>
    <s v="Desk"/>
    <x v="0"/>
    <n v="300"/>
    <x v="1"/>
    <x v="1"/>
    <n v="10816"/>
    <n v="8416"/>
  </r>
  <r>
    <x v="781"/>
    <s v="13-05-2024"/>
    <s v="C104"/>
    <s v="P201"/>
    <x v="2"/>
    <x v="2"/>
    <n v="8"/>
    <n v="1727"/>
    <s v="Laptop"/>
    <x v="1"/>
    <n v="900"/>
    <x v="0"/>
    <x v="0"/>
    <n v="13816"/>
    <n v="6616"/>
  </r>
  <r>
    <x v="782"/>
    <s v="03-06-2024"/>
    <s v="C105"/>
    <s v="P205"/>
    <x v="1"/>
    <x v="1"/>
    <n v="4"/>
    <n v="1167"/>
    <s v="Chair"/>
    <x v="0"/>
    <n v="150"/>
    <x v="1"/>
    <x v="1"/>
    <n v="4668"/>
    <n v="4068"/>
  </r>
  <r>
    <x v="783"/>
    <s v="02-09-2024"/>
    <s v="C105"/>
    <s v="P201"/>
    <x v="2"/>
    <x v="1"/>
    <n v="6"/>
    <n v="1415"/>
    <s v="Laptop"/>
    <x v="1"/>
    <n v="900"/>
    <x v="1"/>
    <x v="1"/>
    <n v="8490"/>
    <n v="3090"/>
  </r>
  <r>
    <x v="784"/>
    <s v="16-12-2024"/>
    <s v="C104"/>
    <s v="P201"/>
    <x v="2"/>
    <x v="3"/>
    <n v="10"/>
    <n v="1365"/>
    <s v="Laptop"/>
    <x v="1"/>
    <n v="900"/>
    <x v="0"/>
    <x v="0"/>
    <n v="13650"/>
    <n v="4650"/>
  </r>
  <r>
    <x v="785"/>
    <s v="16-03-2024"/>
    <s v="C102"/>
    <s v="P201"/>
    <x v="3"/>
    <x v="0"/>
    <n v="2"/>
    <n v="1711"/>
    <s v="Laptop"/>
    <x v="1"/>
    <n v="900"/>
    <x v="4"/>
    <x v="1"/>
    <n v="3422"/>
    <n v="1622"/>
  </r>
  <r>
    <x v="786"/>
    <s v="31-10-2024"/>
    <s v="C102"/>
    <s v="P202"/>
    <x v="1"/>
    <x v="2"/>
    <n v="5"/>
    <n v="1406"/>
    <s v="Printer"/>
    <x v="1"/>
    <n v="1100"/>
    <x v="4"/>
    <x v="1"/>
    <n v="7030"/>
    <n v="1530"/>
  </r>
  <r>
    <x v="787"/>
    <s v="28-05-2024"/>
    <s v="C104"/>
    <s v="P202"/>
    <x v="1"/>
    <x v="3"/>
    <n v="1"/>
    <n v="835"/>
    <s v="Printer"/>
    <x v="1"/>
    <n v="1100"/>
    <x v="0"/>
    <x v="0"/>
    <n v="835"/>
    <n v="-265"/>
  </r>
  <r>
    <x v="788"/>
    <s v="24-05-2024"/>
    <s v="C103"/>
    <s v="P204"/>
    <x v="1"/>
    <x v="3"/>
    <n v="3"/>
    <n v="1399"/>
    <s v="Desk"/>
    <x v="0"/>
    <n v="300"/>
    <x v="3"/>
    <x v="0"/>
    <n v="4197"/>
    <n v="3297"/>
  </r>
  <r>
    <x v="789"/>
    <s v="17-07-2024"/>
    <s v="C105"/>
    <s v="P203"/>
    <x v="2"/>
    <x v="0"/>
    <n v="6"/>
    <n v="1503"/>
    <s v="Mobile"/>
    <x v="1"/>
    <n v="600"/>
    <x v="1"/>
    <x v="1"/>
    <n v="9018"/>
    <n v="5418"/>
  </r>
  <r>
    <x v="790"/>
    <s v="21-07-2024"/>
    <s v="C101"/>
    <s v="P202"/>
    <x v="2"/>
    <x v="1"/>
    <n v="4"/>
    <n v="1171"/>
    <s v="Printer"/>
    <x v="1"/>
    <n v="1100"/>
    <x v="2"/>
    <x v="1"/>
    <n v="4684"/>
    <n v="284"/>
  </r>
  <r>
    <x v="791"/>
    <s v="15-10-2024"/>
    <s v="C104"/>
    <s v="P201"/>
    <x v="2"/>
    <x v="2"/>
    <n v="10"/>
    <n v="1841"/>
    <s v="Laptop"/>
    <x v="1"/>
    <n v="900"/>
    <x v="0"/>
    <x v="0"/>
    <n v="18410"/>
    <n v="9410"/>
  </r>
  <r>
    <x v="792"/>
    <s v="14-12-2024"/>
    <s v="C102"/>
    <s v="P204"/>
    <x v="0"/>
    <x v="2"/>
    <n v="1"/>
    <n v="1497"/>
    <s v="Desk"/>
    <x v="0"/>
    <n v="300"/>
    <x v="4"/>
    <x v="1"/>
    <n v="1497"/>
    <n v="1197"/>
  </r>
  <r>
    <x v="793"/>
    <s v="01-05-2024"/>
    <s v="C103"/>
    <s v="P201"/>
    <x v="2"/>
    <x v="1"/>
    <n v="7"/>
    <n v="1015"/>
    <s v="Laptop"/>
    <x v="1"/>
    <n v="900"/>
    <x v="3"/>
    <x v="0"/>
    <n v="7105"/>
    <n v="805"/>
  </r>
  <r>
    <x v="794"/>
    <s v="08-08-2024"/>
    <s v="C103"/>
    <s v="P202"/>
    <x v="2"/>
    <x v="2"/>
    <n v="10"/>
    <n v="813"/>
    <s v="Printer"/>
    <x v="1"/>
    <n v="1100"/>
    <x v="3"/>
    <x v="0"/>
    <n v="8130"/>
    <n v="-2870"/>
  </r>
  <r>
    <x v="795"/>
    <s v="07-11-2024"/>
    <s v="C104"/>
    <s v="P204"/>
    <x v="1"/>
    <x v="3"/>
    <n v="4"/>
    <n v="1584"/>
    <s v="Desk"/>
    <x v="0"/>
    <n v="300"/>
    <x v="0"/>
    <x v="0"/>
    <n v="6336"/>
    <n v="5136"/>
  </r>
  <r>
    <x v="796"/>
    <s v="08-11-2024"/>
    <s v="C105"/>
    <s v="P202"/>
    <x v="2"/>
    <x v="0"/>
    <n v="1"/>
    <n v="1898"/>
    <s v="Printer"/>
    <x v="1"/>
    <n v="1100"/>
    <x v="1"/>
    <x v="1"/>
    <n v="1898"/>
    <n v="798"/>
  </r>
  <r>
    <x v="797"/>
    <s v="12-09-2024"/>
    <s v="C103"/>
    <s v="P202"/>
    <x v="3"/>
    <x v="2"/>
    <n v="10"/>
    <n v="1752"/>
    <s v="Printer"/>
    <x v="1"/>
    <n v="1100"/>
    <x v="3"/>
    <x v="0"/>
    <n v="17520"/>
    <n v="6520"/>
  </r>
  <r>
    <x v="798"/>
    <s v="18-12-2024"/>
    <s v="C101"/>
    <s v="P203"/>
    <x v="0"/>
    <x v="3"/>
    <n v="2"/>
    <n v="1194"/>
    <s v="Mobile"/>
    <x v="1"/>
    <n v="600"/>
    <x v="2"/>
    <x v="1"/>
    <n v="2388"/>
    <n v="1188"/>
  </r>
  <r>
    <x v="799"/>
    <s v="24-11-2024"/>
    <s v="C101"/>
    <s v="P201"/>
    <x v="2"/>
    <x v="2"/>
    <n v="2"/>
    <n v="1898"/>
    <s v="Laptop"/>
    <x v="1"/>
    <n v="900"/>
    <x v="2"/>
    <x v="1"/>
    <n v="3796"/>
    <n v="1996"/>
  </r>
  <r>
    <x v="800"/>
    <s v="13-04-2024"/>
    <s v="C105"/>
    <s v="P204"/>
    <x v="0"/>
    <x v="2"/>
    <n v="9"/>
    <n v="1139"/>
    <s v="Desk"/>
    <x v="0"/>
    <n v="300"/>
    <x v="1"/>
    <x v="1"/>
    <n v="10251"/>
    <n v="7551"/>
  </r>
  <r>
    <x v="801"/>
    <s v="27-03-2024"/>
    <s v="C105"/>
    <s v="P201"/>
    <x v="3"/>
    <x v="0"/>
    <n v="7"/>
    <n v="1164"/>
    <s v="Laptop"/>
    <x v="1"/>
    <n v="900"/>
    <x v="1"/>
    <x v="1"/>
    <n v="8148"/>
    <n v="1848"/>
  </r>
  <r>
    <x v="802"/>
    <s v="27-11-2024"/>
    <s v="C105"/>
    <s v="P202"/>
    <x v="2"/>
    <x v="2"/>
    <n v="2"/>
    <n v="1520"/>
    <s v="Printer"/>
    <x v="1"/>
    <n v="1100"/>
    <x v="1"/>
    <x v="1"/>
    <n v="3040"/>
    <n v="840"/>
  </r>
  <r>
    <x v="803"/>
    <s v="23-08-2024"/>
    <s v="C105"/>
    <s v="P204"/>
    <x v="2"/>
    <x v="1"/>
    <n v="1"/>
    <n v="990"/>
    <s v="Desk"/>
    <x v="0"/>
    <n v="300"/>
    <x v="1"/>
    <x v="1"/>
    <n v="990"/>
    <n v="690"/>
  </r>
  <r>
    <x v="804"/>
    <s v="04-04-2024"/>
    <s v="C101"/>
    <s v="P204"/>
    <x v="1"/>
    <x v="0"/>
    <n v="2"/>
    <n v="1160"/>
    <s v="Desk"/>
    <x v="0"/>
    <n v="300"/>
    <x v="2"/>
    <x v="1"/>
    <n v="2320"/>
    <n v="1720"/>
  </r>
  <r>
    <x v="805"/>
    <s v="14-04-2024"/>
    <s v="C105"/>
    <s v="P202"/>
    <x v="1"/>
    <x v="0"/>
    <n v="1"/>
    <n v="1064"/>
    <s v="Printer"/>
    <x v="1"/>
    <n v="1100"/>
    <x v="1"/>
    <x v="1"/>
    <n v="1064"/>
    <n v="-36"/>
  </r>
  <r>
    <x v="806"/>
    <s v="22-06-2024"/>
    <s v="C104"/>
    <s v="P205"/>
    <x v="2"/>
    <x v="0"/>
    <n v="3"/>
    <n v="1464"/>
    <s v="Chair"/>
    <x v="0"/>
    <n v="150"/>
    <x v="0"/>
    <x v="0"/>
    <n v="4392"/>
    <n v="3942"/>
  </r>
  <r>
    <x v="807"/>
    <s v="14-09-2024"/>
    <s v="C104"/>
    <s v="P201"/>
    <x v="2"/>
    <x v="0"/>
    <n v="7"/>
    <n v="1832"/>
    <s v="Laptop"/>
    <x v="1"/>
    <n v="900"/>
    <x v="0"/>
    <x v="0"/>
    <n v="12824"/>
    <n v="6524"/>
  </r>
  <r>
    <x v="808"/>
    <s v="19-07-2024"/>
    <s v="C102"/>
    <s v="P205"/>
    <x v="3"/>
    <x v="3"/>
    <n v="2"/>
    <n v="1713"/>
    <s v="Chair"/>
    <x v="0"/>
    <n v="150"/>
    <x v="4"/>
    <x v="1"/>
    <n v="3426"/>
    <n v="3126"/>
  </r>
  <r>
    <x v="809"/>
    <s v="04-09-2024"/>
    <s v="C105"/>
    <s v="P205"/>
    <x v="2"/>
    <x v="0"/>
    <n v="5"/>
    <n v="1841"/>
    <s v="Chair"/>
    <x v="0"/>
    <n v="150"/>
    <x v="1"/>
    <x v="1"/>
    <n v="9205"/>
    <n v="8455"/>
  </r>
  <r>
    <x v="810"/>
    <s v="20-09-2024"/>
    <s v="C104"/>
    <s v="P205"/>
    <x v="0"/>
    <x v="1"/>
    <n v="2"/>
    <n v="1134"/>
    <s v="Chair"/>
    <x v="0"/>
    <n v="150"/>
    <x v="0"/>
    <x v="0"/>
    <n v="2268"/>
    <n v="1968"/>
  </r>
  <r>
    <x v="811"/>
    <s v="09-01-2024"/>
    <s v="C104"/>
    <s v="P201"/>
    <x v="1"/>
    <x v="0"/>
    <n v="10"/>
    <n v="1088"/>
    <s v="Laptop"/>
    <x v="1"/>
    <n v="900"/>
    <x v="0"/>
    <x v="0"/>
    <n v="10880"/>
    <n v="1880"/>
  </r>
  <r>
    <x v="812"/>
    <s v="30-09-2024"/>
    <s v="C103"/>
    <s v="P205"/>
    <x v="1"/>
    <x v="3"/>
    <n v="7"/>
    <n v="1105"/>
    <s v="Chair"/>
    <x v="0"/>
    <n v="150"/>
    <x v="3"/>
    <x v="0"/>
    <n v="7735"/>
    <n v="6685"/>
  </r>
  <r>
    <x v="813"/>
    <s v="06-03-2024"/>
    <s v="C104"/>
    <s v="P202"/>
    <x v="2"/>
    <x v="3"/>
    <n v="4"/>
    <n v="1189"/>
    <s v="Printer"/>
    <x v="1"/>
    <n v="1100"/>
    <x v="0"/>
    <x v="0"/>
    <n v="4756"/>
    <n v="356"/>
  </r>
  <r>
    <x v="814"/>
    <s v="03-07-2024"/>
    <s v="C103"/>
    <s v="P205"/>
    <x v="1"/>
    <x v="2"/>
    <n v="10"/>
    <n v="805"/>
    <s v="Chair"/>
    <x v="0"/>
    <n v="150"/>
    <x v="3"/>
    <x v="0"/>
    <n v="8050"/>
    <n v="6550"/>
  </r>
  <r>
    <x v="815"/>
    <s v="27-02-2024"/>
    <s v="C102"/>
    <s v="P201"/>
    <x v="0"/>
    <x v="3"/>
    <n v="2"/>
    <n v="1250"/>
    <s v="Laptop"/>
    <x v="1"/>
    <n v="900"/>
    <x v="4"/>
    <x v="1"/>
    <n v="2500"/>
    <n v="700"/>
  </r>
  <r>
    <x v="816"/>
    <s v="16-07-2024"/>
    <s v="C103"/>
    <s v="P204"/>
    <x v="3"/>
    <x v="3"/>
    <n v="7"/>
    <n v="1672"/>
    <s v="Desk"/>
    <x v="0"/>
    <n v="300"/>
    <x v="3"/>
    <x v="0"/>
    <n v="11704"/>
    <n v="9604"/>
  </r>
  <r>
    <x v="817"/>
    <s v="03-04-2024"/>
    <s v="C104"/>
    <s v="P205"/>
    <x v="1"/>
    <x v="3"/>
    <n v="7"/>
    <n v="1930"/>
    <s v="Chair"/>
    <x v="0"/>
    <n v="150"/>
    <x v="0"/>
    <x v="0"/>
    <n v="13510"/>
    <n v="12460"/>
  </r>
  <r>
    <x v="818"/>
    <s v="06-04-2024"/>
    <s v="C104"/>
    <s v="P201"/>
    <x v="0"/>
    <x v="2"/>
    <n v="4"/>
    <n v="1097"/>
    <s v="Laptop"/>
    <x v="1"/>
    <n v="900"/>
    <x v="0"/>
    <x v="0"/>
    <n v="4388"/>
    <n v="788"/>
  </r>
  <r>
    <x v="819"/>
    <s v="24-09-2024"/>
    <s v="C104"/>
    <s v="P204"/>
    <x v="1"/>
    <x v="1"/>
    <n v="1"/>
    <n v="1910"/>
    <s v="Desk"/>
    <x v="0"/>
    <n v="300"/>
    <x v="0"/>
    <x v="0"/>
    <n v="1910"/>
    <n v="1610"/>
  </r>
  <r>
    <x v="820"/>
    <s v="12-05-2024"/>
    <s v="C103"/>
    <s v="P205"/>
    <x v="1"/>
    <x v="1"/>
    <n v="2"/>
    <n v="885"/>
    <s v="Chair"/>
    <x v="0"/>
    <n v="150"/>
    <x v="3"/>
    <x v="0"/>
    <n v="1770"/>
    <n v="1470"/>
  </r>
  <r>
    <x v="821"/>
    <s v="09-04-2024"/>
    <s v="C103"/>
    <s v="P203"/>
    <x v="0"/>
    <x v="2"/>
    <n v="1"/>
    <n v="932"/>
    <s v="Mobile"/>
    <x v="1"/>
    <n v="600"/>
    <x v="3"/>
    <x v="0"/>
    <n v="932"/>
    <n v="332"/>
  </r>
  <r>
    <x v="822"/>
    <s v="05-12-2024"/>
    <s v="C101"/>
    <s v="P202"/>
    <x v="1"/>
    <x v="3"/>
    <n v="2"/>
    <n v="1345"/>
    <s v="Printer"/>
    <x v="1"/>
    <n v="1100"/>
    <x v="2"/>
    <x v="1"/>
    <n v="2690"/>
    <n v="490"/>
  </r>
  <r>
    <x v="823"/>
    <s v="21-03-2024"/>
    <s v="C101"/>
    <s v="P201"/>
    <x v="2"/>
    <x v="3"/>
    <n v="3"/>
    <n v="1807"/>
    <s v="Laptop"/>
    <x v="1"/>
    <n v="900"/>
    <x v="2"/>
    <x v="1"/>
    <n v="5421"/>
    <n v="2721"/>
  </r>
  <r>
    <x v="824"/>
    <s v="06-03-2024"/>
    <s v="C103"/>
    <s v="P202"/>
    <x v="3"/>
    <x v="3"/>
    <n v="3"/>
    <n v="1909"/>
    <s v="Printer"/>
    <x v="1"/>
    <n v="1100"/>
    <x v="3"/>
    <x v="0"/>
    <n v="5727"/>
    <n v="2427"/>
  </r>
  <r>
    <x v="825"/>
    <s v="02-04-2024"/>
    <s v="C101"/>
    <s v="P203"/>
    <x v="2"/>
    <x v="1"/>
    <n v="8"/>
    <n v="1936"/>
    <s v="Mobile"/>
    <x v="1"/>
    <n v="600"/>
    <x v="2"/>
    <x v="1"/>
    <n v="15488"/>
    <n v="10688"/>
  </r>
  <r>
    <x v="826"/>
    <s v="30-01-2024"/>
    <s v="C105"/>
    <s v="P201"/>
    <x v="2"/>
    <x v="0"/>
    <n v="3"/>
    <n v="1454"/>
    <s v="Laptop"/>
    <x v="1"/>
    <n v="900"/>
    <x v="1"/>
    <x v="1"/>
    <n v="4362"/>
    <n v="1662"/>
  </r>
  <r>
    <x v="827"/>
    <s v="08-06-2024"/>
    <s v="C101"/>
    <s v="P205"/>
    <x v="1"/>
    <x v="0"/>
    <n v="3"/>
    <n v="1555"/>
    <s v="Chair"/>
    <x v="0"/>
    <n v="150"/>
    <x v="2"/>
    <x v="1"/>
    <n v="4665"/>
    <n v="4215"/>
  </r>
  <r>
    <x v="828"/>
    <s v="15-10-2024"/>
    <s v="C104"/>
    <s v="P202"/>
    <x v="1"/>
    <x v="1"/>
    <n v="6"/>
    <n v="1731"/>
    <s v="Printer"/>
    <x v="1"/>
    <n v="1100"/>
    <x v="0"/>
    <x v="0"/>
    <n v="10386"/>
    <n v="3786"/>
  </r>
  <r>
    <x v="829"/>
    <s v="04-05-2024"/>
    <s v="C104"/>
    <s v="P201"/>
    <x v="3"/>
    <x v="1"/>
    <n v="6"/>
    <n v="1720"/>
    <s v="Laptop"/>
    <x v="1"/>
    <n v="900"/>
    <x v="0"/>
    <x v="0"/>
    <n v="10320"/>
    <n v="4920"/>
  </r>
  <r>
    <x v="830"/>
    <s v="26-01-2024"/>
    <s v="C103"/>
    <s v="P204"/>
    <x v="0"/>
    <x v="1"/>
    <n v="3"/>
    <n v="1578"/>
    <s v="Desk"/>
    <x v="0"/>
    <n v="300"/>
    <x v="3"/>
    <x v="0"/>
    <n v="4734"/>
    <n v="3834"/>
  </r>
  <r>
    <x v="831"/>
    <s v="04-08-2024"/>
    <s v="C104"/>
    <s v="P205"/>
    <x v="3"/>
    <x v="3"/>
    <n v="4"/>
    <n v="814"/>
    <s v="Chair"/>
    <x v="0"/>
    <n v="150"/>
    <x v="0"/>
    <x v="0"/>
    <n v="3256"/>
    <n v="2656"/>
  </r>
  <r>
    <x v="832"/>
    <s v="29-10-2024"/>
    <s v="C104"/>
    <s v="P202"/>
    <x v="2"/>
    <x v="0"/>
    <n v="3"/>
    <n v="1497"/>
    <s v="Printer"/>
    <x v="1"/>
    <n v="1100"/>
    <x v="0"/>
    <x v="0"/>
    <n v="4491"/>
    <n v="1191"/>
  </r>
  <r>
    <x v="833"/>
    <s v="17-01-2024"/>
    <s v="C104"/>
    <s v="P203"/>
    <x v="0"/>
    <x v="2"/>
    <n v="7"/>
    <n v="1154"/>
    <s v="Mobile"/>
    <x v="1"/>
    <n v="600"/>
    <x v="0"/>
    <x v="0"/>
    <n v="8078"/>
    <n v="3878"/>
  </r>
  <r>
    <x v="834"/>
    <s v="28-02-2024"/>
    <s v="C101"/>
    <s v="P205"/>
    <x v="1"/>
    <x v="0"/>
    <n v="3"/>
    <n v="878"/>
    <s v="Chair"/>
    <x v="0"/>
    <n v="150"/>
    <x v="2"/>
    <x v="1"/>
    <n v="2634"/>
    <n v="2184"/>
  </r>
  <r>
    <x v="835"/>
    <s v="07-04-2024"/>
    <s v="C105"/>
    <s v="P205"/>
    <x v="2"/>
    <x v="0"/>
    <n v="7"/>
    <n v="842"/>
    <s v="Chair"/>
    <x v="0"/>
    <n v="150"/>
    <x v="1"/>
    <x v="1"/>
    <n v="5894"/>
    <n v="4844"/>
  </r>
  <r>
    <x v="836"/>
    <s v="05-08-2024"/>
    <s v="C105"/>
    <s v="P203"/>
    <x v="3"/>
    <x v="2"/>
    <n v="7"/>
    <n v="1145"/>
    <s v="Mobile"/>
    <x v="1"/>
    <n v="600"/>
    <x v="1"/>
    <x v="1"/>
    <n v="8015"/>
    <n v="3815"/>
  </r>
  <r>
    <x v="837"/>
    <s v="05-12-2024"/>
    <s v="C102"/>
    <s v="P202"/>
    <x v="2"/>
    <x v="2"/>
    <n v="5"/>
    <n v="1594"/>
    <s v="Printer"/>
    <x v="1"/>
    <n v="1100"/>
    <x v="4"/>
    <x v="1"/>
    <n v="7970"/>
    <n v="2470"/>
  </r>
  <r>
    <x v="838"/>
    <s v="04-04-2024"/>
    <s v="C104"/>
    <s v="P202"/>
    <x v="2"/>
    <x v="2"/>
    <n v="1"/>
    <n v="1402"/>
    <s v="Printer"/>
    <x v="1"/>
    <n v="1100"/>
    <x v="0"/>
    <x v="0"/>
    <n v="1402"/>
    <n v="302"/>
  </r>
  <r>
    <x v="839"/>
    <s v="06-06-2024"/>
    <s v="C101"/>
    <s v="P203"/>
    <x v="2"/>
    <x v="2"/>
    <n v="3"/>
    <n v="1876"/>
    <s v="Mobile"/>
    <x v="1"/>
    <n v="600"/>
    <x v="2"/>
    <x v="1"/>
    <n v="5628"/>
    <n v="3828"/>
  </r>
  <r>
    <x v="840"/>
    <s v="15-10-2024"/>
    <s v="C105"/>
    <s v="P205"/>
    <x v="2"/>
    <x v="2"/>
    <n v="2"/>
    <n v="1371"/>
    <s v="Chair"/>
    <x v="0"/>
    <n v="150"/>
    <x v="1"/>
    <x v="1"/>
    <n v="2742"/>
    <n v="2442"/>
  </r>
  <r>
    <x v="841"/>
    <s v="27-03-2024"/>
    <s v="C103"/>
    <s v="P205"/>
    <x v="1"/>
    <x v="1"/>
    <n v="10"/>
    <n v="1292"/>
    <s v="Chair"/>
    <x v="0"/>
    <n v="150"/>
    <x v="3"/>
    <x v="0"/>
    <n v="12920"/>
    <n v="11420"/>
  </r>
  <r>
    <x v="842"/>
    <s v="06-08-2024"/>
    <s v="C103"/>
    <s v="P205"/>
    <x v="1"/>
    <x v="0"/>
    <n v="8"/>
    <n v="1193"/>
    <s v="Chair"/>
    <x v="0"/>
    <n v="150"/>
    <x v="3"/>
    <x v="0"/>
    <n v="9544"/>
    <n v="8344"/>
  </r>
  <r>
    <x v="843"/>
    <s v="06-05-2024"/>
    <s v="C103"/>
    <s v="P203"/>
    <x v="0"/>
    <x v="0"/>
    <n v="8"/>
    <n v="1071"/>
    <s v="Mobile"/>
    <x v="1"/>
    <n v="600"/>
    <x v="3"/>
    <x v="0"/>
    <n v="8568"/>
    <n v="3768"/>
  </r>
  <r>
    <x v="844"/>
    <s v="20-01-2024"/>
    <s v="C103"/>
    <s v="P202"/>
    <x v="2"/>
    <x v="2"/>
    <n v="8"/>
    <n v="1292"/>
    <s v="Printer"/>
    <x v="1"/>
    <n v="1100"/>
    <x v="3"/>
    <x v="0"/>
    <n v="10336"/>
    <n v="1536"/>
  </r>
  <r>
    <x v="845"/>
    <s v="15-06-2024"/>
    <s v="C104"/>
    <s v="P201"/>
    <x v="1"/>
    <x v="3"/>
    <n v="5"/>
    <n v="1358"/>
    <s v="Laptop"/>
    <x v="1"/>
    <n v="900"/>
    <x v="0"/>
    <x v="0"/>
    <n v="6790"/>
    <n v="2290"/>
  </r>
  <r>
    <x v="846"/>
    <s v="06-07-2024"/>
    <s v="C103"/>
    <s v="P202"/>
    <x v="1"/>
    <x v="1"/>
    <n v="2"/>
    <n v="1181"/>
    <s v="Printer"/>
    <x v="1"/>
    <n v="1100"/>
    <x v="3"/>
    <x v="0"/>
    <n v="2362"/>
    <n v="162"/>
  </r>
  <r>
    <x v="847"/>
    <s v="26-01-2024"/>
    <s v="C104"/>
    <s v="P201"/>
    <x v="3"/>
    <x v="0"/>
    <n v="2"/>
    <n v="1866"/>
    <s v="Laptop"/>
    <x v="1"/>
    <n v="900"/>
    <x v="0"/>
    <x v="0"/>
    <n v="3732"/>
    <n v="1932"/>
  </r>
  <r>
    <x v="848"/>
    <s v="03-08-2024"/>
    <s v="C102"/>
    <s v="P203"/>
    <x v="2"/>
    <x v="3"/>
    <n v="1"/>
    <n v="981"/>
    <s v="Mobile"/>
    <x v="1"/>
    <n v="600"/>
    <x v="4"/>
    <x v="1"/>
    <n v="981"/>
    <n v="381"/>
  </r>
  <r>
    <x v="849"/>
    <s v="18-12-2024"/>
    <s v="C105"/>
    <s v="P203"/>
    <x v="3"/>
    <x v="2"/>
    <n v="8"/>
    <n v="1797"/>
    <s v="Mobile"/>
    <x v="1"/>
    <n v="600"/>
    <x v="1"/>
    <x v="1"/>
    <n v="14376"/>
    <n v="9576"/>
  </r>
  <r>
    <x v="850"/>
    <s v="28-09-2024"/>
    <s v="C102"/>
    <s v="P202"/>
    <x v="2"/>
    <x v="0"/>
    <n v="3"/>
    <n v="1955"/>
    <s v="Printer"/>
    <x v="1"/>
    <n v="1100"/>
    <x v="4"/>
    <x v="1"/>
    <n v="5865"/>
    <n v="2565"/>
  </r>
  <r>
    <x v="851"/>
    <s v="23-04-2024"/>
    <s v="C104"/>
    <s v="P203"/>
    <x v="2"/>
    <x v="2"/>
    <n v="7"/>
    <n v="1398"/>
    <s v="Mobile"/>
    <x v="1"/>
    <n v="600"/>
    <x v="0"/>
    <x v="0"/>
    <n v="9786"/>
    <n v="5586"/>
  </r>
  <r>
    <x v="852"/>
    <s v="21-09-2024"/>
    <s v="C105"/>
    <s v="P205"/>
    <x v="0"/>
    <x v="1"/>
    <n v="4"/>
    <n v="1577"/>
    <s v="Chair"/>
    <x v="0"/>
    <n v="150"/>
    <x v="1"/>
    <x v="1"/>
    <n v="6308"/>
    <n v="5708"/>
  </r>
  <r>
    <x v="853"/>
    <s v="25-04-2024"/>
    <s v="C103"/>
    <s v="P201"/>
    <x v="3"/>
    <x v="0"/>
    <n v="4"/>
    <n v="1979"/>
    <s v="Laptop"/>
    <x v="1"/>
    <n v="900"/>
    <x v="3"/>
    <x v="0"/>
    <n v="7916"/>
    <n v="4316"/>
  </r>
  <r>
    <x v="854"/>
    <s v="03-03-2024"/>
    <s v="C102"/>
    <s v="P202"/>
    <x v="3"/>
    <x v="0"/>
    <n v="1"/>
    <n v="1863"/>
    <s v="Printer"/>
    <x v="1"/>
    <n v="1100"/>
    <x v="4"/>
    <x v="1"/>
    <n v="1863"/>
    <n v="763"/>
  </r>
  <r>
    <x v="855"/>
    <s v="29-09-2024"/>
    <s v="C105"/>
    <s v="P202"/>
    <x v="1"/>
    <x v="2"/>
    <n v="10"/>
    <n v="1078"/>
    <s v="Printer"/>
    <x v="1"/>
    <n v="1100"/>
    <x v="1"/>
    <x v="1"/>
    <n v="10780"/>
    <n v="-220"/>
  </r>
  <r>
    <x v="856"/>
    <s v="12-05-2024"/>
    <s v="C103"/>
    <s v="P202"/>
    <x v="3"/>
    <x v="0"/>
    <n v="4"/>
    <n v="1496"/>
    <s v="Printer"/>
    <x v="1"/>
    <n v="1100"/>
    <x v="3"/>
    <x v="0"/>
    <n v="5984"/>
    <n v="1584"/>
  </r>
  <r>
    <x v="857"/>
    <s v="16-09-2024"/>
    <s v="C104"/>
    <s v="P202"/>
    <x v="1"/>
    <x v="3"/>
    <n v="6"/>
    <n v="1419"/>
    <s v="Printer"/>
    <x v="1"/>
    <n v="1100"/>
    <x v="0"/>
    <x v="0"/>
    <n v="8514"/>
    <n v="1914"/>
  </r>
  <r>
    <x v="858"/>
    <s v="10-10-2024"/>
    <s v="C104"/>
    <s v="P205"/>
    <x v="0"/>
    <x v="0"/>
    <n v="6"/>
    <n v="1183"/>
    <s v="Chair"/>
    <x v="0"/>
    <n v="150"/>
    <x v="0"/>
    <x v="0"/>
    <n v="7098"/>
    <n v="6198"/>
  </r>
  <r>
    <x v="859"/>
    <s v="01-03-2024"/>
    <s v="C101"/>
    <s v="P205"/>
    <x v="1"/>
    <x v="0"/>
    <n v="9"/>
    <n v="1867"/>
    <s v="Chair"/>
    <x v="0"/>
    <n v="150"/>
    <x v="2"/>
    <x v="1"/>
    <n v="16803"/>
    <n v="15453"/>
  </r>
  <r>
    <x v="860"/>
    <s v="17-04-2024"/>
    <s v="C104"/>
    <s v="P202"/>
    <x v="3"/>
    <x v="0"/>
    <n v="4"/>
    <n v="1265"/>
    <s v="Printer"/>
    <x v="1"/>
    <n v="1100"/>
    <x v="0"/>
    <x v="0"/>
    <n v="5060"/>
    <n v="660"/>
  </r>
  <r>
    <x v="861"/>
    <s v="18-01-2024"/>
    <s v="C105"/>
    <s v="P201"/>
    <x v="2"/>
    <x v="2"/>
    <n v="4"/>
    <n v="1283"/>
    <s v="Laptop"/>
    <x v="1"/>
    <n v="900"/>
    <x v="1"/>
    <x v="1"/>
    <n v="5132"/>
    <n v="1532"/>
  </r>
  <r>
    <x v="862"/>
    <s v="22-08-2024"/>
    <s v="C101"/>
    <s v="P205"/>
    <x v="1"/>
    <x v="0"/>
    <n v="10"/>
    <n v="1386"/>
    <s v="Chair"/>
    <x v="0"/>
    <n v="150"/>
    <x v="2"/>
    <x v="1"/>
    <n v="13860"/>
    <n v="12360"/>
  </r>
  <r>
    <x v="863"/>
    <s v="09-04-2024"/>
    <s v="C102"/>
    <s v="P201"/>
    <x v="1"/>
    <x v="2"/>
    <n v="1"/>
    <n v="954"/>
    <s v="Laptop"/>
    <x v="1"/>
    <n v="900"/>
    <x v="4"/>
    <x v="1"/>
    <n v="954"/>
    <n v="54"/>
  </r>
  <r>
    <x v="864"/>
    <s v="03-11-2024"/>
    <s v="C102"/>
    <s v="P202"/>
    <x v="2"/>
    <x v="0"/>
    <n v="9"/>
    <n v="1936"/>
    <s v="Printer"/>
    <x v="1"/>
    <n v="1100"/>
    <x v="4"/>
    <x v="1"/>
    <n v="17424"/>
    <n v="7524"/>
  </r>
  <r>
    <x v="865"/>
    <s v="22-03-2024"/>
    <s v="C105"/>
    <s v="P203"/>
    <x v="0"/>
    <x v="1"/>
    <n v="1"/>
    <n v="1999"/>
    <s v="Mobile"/>
    <x v="1"/>
    <n v="600"/>
    <x v="1"/>
    <x v="1"/>
    <n v="1999"/>
    <n v="1399"/>
  </r>
  <r>
    <x v="866"/>
    <s v="30-05-2024"/>
    <s v="C102"/>
    <s v="P205"/>
    <x v="3"/>
    <x v="3"/>
    <n v="6"/>
    <n v="1334"/>
    <s v="Chair"/>
    <x v="0"/>
    <n v="150"/>
    <x v="4"/>
    <x v="1"/>
    <n v="8004"/>
    <n v="7104"/>
  </r>
  <r>
    <x v="867"/>
    <s v="05-12-2024"/>
    <s v="C101"/>
    <s v="P204"/>
    <x v="3"/>
    <x v="3"/>
    <n v="4"/>
    <n v="1487"/>
    <s v="Desk"/>
    <x v="0"/>
    <n v="300"/>
    <x v="2"/>
    <x v="1"/>
    <n v="5948"/>
    <n v="4748"/>
  </r>
  <r>
    <x v="868"/>
    <s v="18-11-2024"/>
    <s v="C103"/>
    <s v="P201"/>
    <x v="2"/>
    <x v="3"/>
    <n v="9"/>
    <n v="1207"/>
    <s v="Laptop"/>
    <x v="1"/>
    <n v="900"/>
    <x v="3"/>
    <x v="0"/>
    <n v="10863"/>
    <n v="2763"/>
  </r>
  <r>
    <x v="869"/>
    <s v="12-03-2024"/>
    <s v="C104"/>
    <s v="P202"/>
    <x v="1"/>
    <x v="2"/>
    <n v="8"/>
    <n v="1130"/>
    <s v="Printer"/>
    <x v="1"/>
    <n v="1100"/>
    <x v="0"/>
    <x v="0"/>
    <n v="9040"/>
    <n v="240"/>
  </r>
  <r>
    <x v="870"/>
    <s v="25-05-2024"/>
    <s v="C101"/>
    <s v="P204"/>
    <x v="3"/>
    <x v="0"/>
    <n v="3"/>
    <n v="1865"/>
    <s v="Desk"/>
    <x v="0"/>
    <n v="300"/>
    <x v="2"/>
    <x v="1"/>
    <n v="5595"/>
    <n v="4695"/>
  </r>
  <r>
    <x v="871"/>
    <s v="19-07-2024"/>
    <s v="C101"/>
    <s v="P202"/>
    <x v="1"/>
    <x v="1"/>
    <n v="3"/>
    <n v="914"/>
    <s v="Printer"/>
    <x v="1"/>
    <n v="1100"/>
    <x v="2"/>
    <x v="1"/>
    <n v="2742"/>
    <n v="-558"/>
  </r>
  <r>
    <x v="872"/>
    <s v="08-03-2024"/>
    <s v="C102"/>
    <s v="P204"/>
    <x v="2"/>
    <x v="3"/>
    <n v="8"/>
    <n v="1515"/>
    <s v="Desk"/>
    <x v="0"/>
    <n v="300"/>
    <x v="4"/>
    <x v="1"/>
    <n v="12120"/>
    <n v="9720"/>
  </r>
  <r>
    <x v="873"/>
    <s v="15-07-2024"/>
    <s v="C102"/>
    <s v="P205"/>
    <x v="0"/>
    <x v="1"/>
    <n v="9"/>
    <n v="844"/>
    <s v="Chair"/>
    <x v="0"/>
    <n v="150"/>
    <x v="4"/>
    <x v="1"/>
    <n v="7596"/>
    <n v="6246"/>
  </r>
  <r>
    <x v="874"/>
    <s v="03-01-2024"/>
    <s v="C102"/>
    <s v="P205"/>
    <x v="2"/>
    <x v="0"/>
    <n v="5"/>
    <n v="1027"/>
    <s v="Chair"/>
    <x v="0"/>
    <n v="150"/>
    <x v="4"/>
    <x v="1"/>
    <n v="5135"/>
    <n v="4385"/>
  </r>
  <r>
    <x v="875"/>
    <s v="01-04-2024"/>
    <s v="C103"/>
    <s v="P205"/>
    <x v="3"/>
    <x v="0"/>
    <n v="7"/>
    <n v="1274"/>
    <s v="Chair"/>
    <x v="0"/>
    <n v="150"/>
    <x v="3"/>
    <x v="0"/>
    <n v="8918"/>
    <n v="7868"/>
  </r>
  <r>
    <x v="876"/>
    <s v="04-01-2024"/>
    <s v="C104"/>
    <s v="P204"/>
    <x v="1"/>
    <x v="2"/>
    <n v="2"/>
    <n v="1710"/>
    <s v="Desk"/>
    <x v="0"/>
    <n v="300"/>
    <x v="0"/>
    <x v="0"/>
    <n v="3420"/>
    <n v="2820"/>
  </r>
  <r>
    <x v="877"/>
    <s v="17-10-2024"/>
    <s v="C101"/>
    <s v="P201"/>
    <x v="3"/>
    <x v="0"/>
    <n v="9"/>
    <n v="1239"/>
    <s v="Laptop"/>
    <x v="1"/>
    <n v="900"/>
    <x v="2"/>
    <x v="1"/>
    <n v="11151"/>
    <n v="3051"/>
  </r>
  <r>
    <x v="878"/>
    <s v="03-01-2024"/>
    <s v="C103"/>
    <s v="P203"/>
    <x v="3"/>
    <x v="2"/>
    <n v="9"/>
    <n v="1417"/>
    <s v="Mobile"/>
    <x v="1"/>
    <n v="600"/>
    <x v="3"/>
    <x v="0"/>
    <n v="12753"/>
    <n v="7353"/>
  </r>
  <r>
    <x v="879"/>
    <s v="15-01-2024"/>
    <s v="C102"/>
    <s v="P202"/>
    <x v="2"/>
    <x v="0"/>
    <n v="8"/>
    <n v="1378"/>
    <s v="Printer"/>
    <x v="1"/>
    <n v="1100"/>
    <x v="4"/>
    <x v="1"/>
    <n v="11024"/>
    <n v="2224"/>
  </r>
  <r>
    <x v="880"/>
    <s v="25-06-2024"/>
    <s v="C102"/>
    <s v="P201"/>
    <x v="3"/>
    <x v="0"/>
    <n v="1"/>
    <n v="1148"/>
    <s v="Laptop"/>
    <x v="1"/>
    <n v="900"/>
    <x v="4"/>
    <x v="1"/>
    <n v="1148"/>
    <n v="248"/>
  </r>
  <r>
    <x v="881"/>
    <s v="15-07-2024"/>
    <s v="C102"/>
    <s v="P203"/>
    <x v="0"/>
    <x v="3"/>
    <n v="10"/>
    <n v="1032"/>
    <s v="Mobile"/>
    <x v="1"/>
    <n v="600"/>
    <x v="4"/>
    <x v="1"/>
    <n v="10320"/>
    <n v="4320"/>
  </r>
  <r>
    <x v="882"/>
    <s v="29-05-2024"/>
    <s v="C104"/>
    <s v="P201"/>
    <x v="1"/>
    <x v="3"/>
    <n v="3"/>
    <n v="1198"/>
    <s v="Laptop"/>
    <x v="1"/>
    <n v="900"/>
    <x v="0"/>
    <x v="0"/>
    <n v="3594"/>
    <n v="894"/>
  </r>
  <r>
    <x v="883"/>
    <s v="15-08-2024"/>
    <s v="C102"/>
    <s v="P201"/>
    <x v="3"/>
    <x v="3"/>
    <n v="7"/>
    <n v="969"/>
    <s v="Laptop"/>
    <x v="1"/>
    <n v="900"/>
    <x v="4"/>
    <x v="1"/>
    <n v="6783"/>
    <n v="483"/>
  </r>
  <r>
    <x v="884"/>
    <s v="20-01-2024"/>
    <s v="C104"/>
    <s v="P205"/>
    <x v="3"/>
    <x v="1"/>
    <n v="6"/>
    <n v="1441"/>
    <s v="Chair"/>
    <x v="0"/>
    <n v="150"/>
    <x v="0"/>
    <x v="0"/>
    <n v="8646"/>
    <n v="7746"/>
  </r>
  <r>
    <x v="885"/>
    <s v="20-01-2024"/>
    <s v="C101"/>
    <s v="P202"/>
    <x v="0"/>
    <x v="0"/>
    <n v="6"/>
    <n v="1536"/>
    <s v="Printer"/>
    <x v="1"/>
    <n v="1100"/>
    <x v="2"/>
    <x v="1"/>
    <n v="9216"/>
    <n v="2616"/>
  </r>
  <r>
    <x v="886"/>
    <s v="20-07-2024"/>
    <s v="C101"/>
    <s v="P201"/>
    <x v="1"/>
    <x v="2"/>
    <n v="7"/>
    <n v="1749"/>
    <s v="Laptop"/>
    <x v="1"/>
    <n v="900"/>
    <x v="2"/>
    <x v="1"/>
    <n v="12243"/>
    <n v="5943"/>
  </r>
  <r>
    <x v="887"/>
    <s v="20-05-2024"/>
    <s v="C105"/>
    <s v="P201"/>
    <x v="2"/>
    <x v="2"/>
    <n v="3"/>
    <n v="1532"/>
    <s v="Laptop"/>
    <x v="1"/>
    <n v="900"/>
    <x v="1"/>
    <x v="1"/>
    <n v="4596"/>
    <n v="1896"/>
  </r>
  <r>
    <x v="888"/>
    <s v="17-09-2024"/>
    <s v="C105"/>
    <s v="P205"/>
    <x v="1"/>
    <x v="0"/>
    <n v="2"/>
    <n v="1453"/>
    <s v="Chair"/>
    <x v="0"/>
    <n v="150"/>
    <x v="1"/>
    <x v="1"/>
    <n v="2906"/>
    <n v="2606"/>
  </r>
  <r>
    <x v="889"/>
    <s v="13-10-2024"/>
    <s v="C101"/>
    <s v="P201"/>
    <x v="1"/>
    <x v="0"/>
    <n v="2"/>
    <n v="1131"/>
    <s v="Laptop"/>
    <x v="1"/>
    <n v="900"/>
    <x v="2"/>
    <x v="1"/>
    <n v="2262"/>
    <n v="462"/>
  </r>
  <r>
    <x v="890"/>
    <s v="28-09-2024"/>
    <s v="C104"/>
    <s v="P204"/>
    <x v="0"/>
    <x v="1"/>
    <n v="3"/>
    <n v="1241"/>
    <s v="Desk"/>
    <x v="0"/>
    <n v="300"/>
    <x v="0"/>
    <x v="0"/>
    <n v="3723"/>
    <n v="2823"/>
  </r>
  <r>
    <x v="891"/>
    <s v="06-02-2024"/>
    <s v="C105"/>
    <s v="P201"/>
    <x v="0"/>
    <x v="2"/>
    <n v="9"/>
    <n v="1967"/>
    <s v="Laptop"/>
    <x v="1"/>
    <n v="900"/>
    <x v="1"/>
    <x v="1"/>
    <n v="17703"/>
    <n v="9603"/>
  </r>
  <r>
    <x v="892"/>
    <s v="11-08-2024"/>
    <s v="C102"/>
    <s v="P201"/>
    <x v="0"/>
    <x v="0"/>
    <n v="5"/>
    <n v="975"/>
    <s v="Laptop"/>
    <x v="1"/>
    <n v="900"/>
    <x v="4"/>
    <x v="1"/>
    <n v="4875"/>
    <n v="375"/>
  </r>
  <r>
    <x v="893"/>
    <s v="20-03-2024"/>
    <s v="C104"/>
    <s v="P205"/>
    <x v="2"/>
    <x v="3"/>
    <n v="2"/>
    <n v="811"/>
    <s v="Chair"/>
    <x v="0"/>
    <n v="150"/>
    <x v="0"/>
    <x v="0"/>
    <n v="1622"/>
    <n v="1322"/>
  </r>
  <r>
    <x v="894"/>
    <s v="27-06-2024"/>
    <s v="C104"/>
    <s v="P201"/>
    <x v="0"/>
    <x v="1"/>
    <n v="8"/>
    <n v="1058"/>
    <s v="Laptop"/>
    <x v="1"/>
    <n v="900"/>
    <x v="0"/>
    <x v="0"/>
    <n v="8464"/>
    <n v="1264"/>
  </r>
  <r>
    <x v="895"/>
    <s v="16-01-2024"/>
    <s v="C103"/>
    <s v="P202"/>
    <x v="3"/>
    <x v="2"/>
    <n v="4"/>
    <n v="1436"/>
    <s v="Printer"/>
    <x v="1"/>
    <n v="1100"/>
    <x v="3"/>
    <x v="0"/>
    <n v="5744"/>
    <n v="1344"/>
  </r>
  <r>
    <x v="896"/>
    <s v="10-01-2024"/>
    <s v="C105"/>
    <s v="P201"/>
    <x v="2"/>
    <x v="3"/>
    <n v="7"/>
    <n v="1726"/>
    <s v="Laptop"/>
    <x v="1"/>
    <n v="900"/>
    <x v="1"/>
    <x v="1"/>
    <n v="12082"/>
    <n v="5782"/>
  </r>
  <r>
    <x v="897"/>
    <s v="23-12-2024"/>
    <s v="C103"/>
    <s v="P201"/>
    <x v="1"/>
    <x v="0"/>
    <n v="4"/>
    <n v="1628"/>
    <s v="Laptop"/>
    <x v="1"/>
    <n v="900"/>
    <x v="3"/>
    <x v="0"/>
    <n v="6512"/>
    <n v="2912"/>
  </r>
  <r>
    <x v="898"/>
    <s v="31-01-2024"/>
    <s v="C101"/>
    <s v="P203"/>
    <x v="0"/>
    <x v="3"/>
    <n v="4"/>
    <n v="1817"/>
    <s v="Mobile"/>
    <x v="1"/>
    <n v="600"/>
    <x v="2"/>
    <x v="1"/>
    <n v="7268"/>
    <n v="4868"/>
  </r>
  <r>
    <x v="899"/>
    <s v="29-07-2024"/>
    <s v="C104"/>
    <s v="P201"/>
    <x v="0"/>
    <x v="0"/>
    <n v="8"/>
    <n v="1728"/>
    <s v="Laptop"/>
    <x v="1"/>
    <n v="900"/>
    <x v="0"/>
    <x v="0"/>
    <n v="13824"/>
    <n v="6624"/>
  </r>
  <r>
    <x v="900"/>
    <s v="30-01-2024"/>
    <s v="C101"/>
    <s v="P205"/>
    <x v="2"/>
    <x v="0"/>
    <n v="8"/>
    <n v="846"/>
    <s v="Chair"/>
    <x v="0"/>
    <n v="150"/>
    <x v="2"/>
    <x v="1"/>
    <n v="6768"/>
    <n v="5568"/>
  </r>
  <r>
    <x v="901"/>
    <s v="22-06-2024"/>
    <s v="C101"/>
    <s v="P201"/>
    <x v="2"/>
    <x v="2"/>
    <n v="10"/>
    <n v="1617"/>
    <s v="Laptop"/>
    <x v="1"/>
    <n v="900"/>
    <x v="2"/>
    <x v="1"/>
    <n v="16170"/>
    <n v="7170"/>
  </r>
  <r>
    <x v="902"/>
    <s v="30-09-2024"/>
    <s v="C101"/>
    <s v="P204"/>
    <x v="0"/>
    <x v="3"/>
    <n v="5"/>
    <n v="1864"/>
    <s v="Desk"/>
    <x v="0"/>
    <n v="300"/>
    <x v="2"/>
    <x v="1"/>
    <n v="9320"/>
    <n v="7820"/>
  </r>
  <r>
    <x v="903"/>
    <s v="06-01-2024"/>
    <s v="C101"/>
    <s v="P201"/>
    <x v="2"/>
    <x v="3"/>
    <n v="1"/>
    <n v="1041"/>
    <s v="Laptop"/>
    <x v="1"/>
    <n v="900"/>
    <x v="2"/>
    <x v="1"/>
    <n v="1041"/>
    <n v="141"/>
  </r>
  <r>
    <x v="904"/>
    <s v="23-07-2024"/>
    <s v="C103"/>
    <s v="P204"/>
    <x v="0"/>
    <x v="3"/>
    <n v="7"/>
    <n v="1453"/>
    <s v="Desk"/>
    <x v="0"/>
    <n v="300"/>
    <x v="3"/>
    <x v="0"/>
    <n v="10171"/>
    <n v="8071"/>
  </r>
  <r>
    <x v="905"/>
    <s v="15-11-2024"/>
    <s v="C105"/>
    <s v="P204"/>
    <x v="0"/>
    <x v="2"/>
    <n v="10"/>
    <n v="1405"/>
    <s v="Desk"/>
    <x v="0"/>
    <n v="300"/>
    <x v="1"/>
    <x v="1"/>
    <n v="14050"/>
    <n v="11050"/>
  </r>
  <r>
    <x v="906"/>
    <s v="17-08-2024"/>
    <s v="C104"/>
    <s v="P205"/>
    <x v="0"/>
    <x v="3"/>
    <n v="2"/>
    <n v="981"/>
    <s v="Chair"/>
    <x v="0"/>
    <n v="150"/>
    <x v="0"/>
    <x v="0"/>
    <n v="1962"/>
    <n v="1662"/>
  </r>
  <r>
    <x v="907"/>
    <s v="25-11-2024"/>
    <s v="C102"/>
    <s v="P205"/>
    <x v="3"/>
    <x v="2"/>
    <n v="9"/>
    <n v="1835"/>
    <s v="Chair"/>
    <x v="0"/>
    <n v="150"/>
    <x v="4"/>
    <x v="1"/>
    <n v="16515"/>
    <n v="15165"/>
  </r>
  <r>
    <x v="908"/>
    <s v="18-04-2024"/>
    <s v="C104"/>
    <s v="P201"/>
    <x v="3"/>
    <x v="0"/>
    <n v="3"/>
    <n v="1732"/>
    <s v="Laptop"/>
    <x v="1"/>
    <n v="900"/>
    <x v="0"/>
    <x v="0"/>
    <n v="5196"/>
    <n v="2496"/>
  </r>
  <r>
    <x v="909"/>
    <s v="01-11-2024"/>
    <s v="C105"/>
    <s v="P202"/>
    <x v="0"/>
    <x v="2"/>
    <n v="8"/>
    <n v="1360"/>
    <s v="Printer"/>
    <x v="1"/>
    <n v="1100"/>
    <x v="1"/>
    <x v="1"/>
    <n v="10880"/>
    <n v="2080"/>
  </r>
  <r>
    <x v="910"/>
    <s v="19-05-2024"/>
    <s v="C104"/>
    <s v="P202"/>
    <x v="0"/>
    <x v="0"/>
    <n v="8"/>
    <n v="1432"/>
    <s v="Printer"/>
    <x v="1"/>
    <n v="1100"/>
    <x v="0"/>
    <x v="0"/>
    <n v="11456"/>
    <n v="2656"/>
  </r>
  <r>
    <x v="911"/>
    <s v="24-11-2024"/>
    <s v="C101"/>
    <s v="P201"/>
    <x v="0"/>
    <x v="0"/>
    <n v="10"/>
    <n v="1368"/>
    <s v="Laptop"/>
    <x v="1"/>
    <n v="900"/>
    <x v="2"/>
    <x v="1"/>
    <n v="13680"/>
    <n v="4680"/>
  </r>
  <r>
    <x v="912"/>
    <s v="04-08-2024"/>
    <s v="C102"/>
    <s v="P203"/>
    <x v="1"/>
    <x v="0"/>
    <n v="8"/>
    <n v="1805"/>
    <s v="Mobile"/>
    <x v="1"/>
    <n v="600"/>
    <x v="4"/>
    <x v="1"/>
    <n v="14440"/>
    <n v="9640"/>
  </r>
  <r>
    <x v="913"/>
    <s v="16-05-2024"/>
    <s v="C104"/>
    <s v="P201"/>
    <x v="0"/>
    <x v="3"/>
    <n v="3"/>
    <n v="838"/>
    <s v="Laptop"/>
    <x v="1"/>
    <n v="900"/>
    <x v="0"/>
    <x v="0"/>
    <n v="2514"/>
    <n v="-186"/>
  </r>
  <r>
    <x v="914"/>
    <s v="16-07-2024"/>
    <s v="C103"/>
    <s v="P202"/>
    <x v="0"/>
    <x v="2"/>
    <n v="5"/>
    <n v="1451"/>
    <s v="Printer"/>
    <x v="1"/>
    <n v="1100"/>
    <x v="3"/>
    <x v="0"/>
    <n v="7255"/>
    <n v="1755"/>
  </r>
  <r>
    <x v="915"/>
    <s v="24-07-2024"/>
    <s v="C104"/>
    <s v="P202"/>
    <x v="1"/>
    <x v="3"/>
    <n v="10"/>
    <n v="964"/>
    <s v="Printer"/>
    <x v="1"/>
    <n v="1100"/>
    <x v="0"/>
    <x v="0"/>
    <n v="9640"/>
    <n v="-1360"/>
  </r>
  <r>
    <x v="916"/>
    <s v="12-05-2024"/>
    <s v="C102"/>
    <s v="P202"/>
    <x v="2"/>
    <x v="2"/>
    <n v="9"/>
    <n v="1674"/>
    <s v="Printer"/>
    <x v="1"/>
    <n v="1100"/>
    <x v="4"/>
    <x v="1"/>
    <n v="15066"/>
    <n v="5166"/>
  </r>
  <r>
    <x v="917"/>
    <s v="14-04-2024"/>
    <s v="C101"/>
    <s v="P203"/>
    <x v="3"/>
    <x v="2"/>
    <n v="10"/>
    <n v="1522"/>
    <s v="Mobile"/>
    <x v="1"/>
    <n v="600"/>
    <x v="2"/>
    <x v="1"/>
    <n v="15220"/>
    <n v="9220"/>
  </r>
  <r>
    <x v="918"/>
    <s v="17-12-2024"/>
    <s v="C105"/>
    <s v="P205"/>
    <x v="2"/>
    <x v="1"/>
    <n v="7"/>
    <n v="1945"/>
    <s v="Chair"/>
    <x v="0"/>
    <n v="150"/>
    <x v="1"/>
    <x v="1"/>
    <n v="13615"/>
    <n v="12565"/>
  </r>
  <r>
    <x v="919"/>
    <s v="28-07-2024"/>
    <s v="C104"/>
    <s v="P203"/>
    <x v="3"/>
    <x v="0"/>
    <n v="1"/>
    <n v="1039"/>
    <s v="Mobile"/>
    <x v="1"/>
    <n v="600"/>
    <x v="0"/>
    <x v="0"/>
    <n v="1039"/>
    <n v="439"/>
  </r>
  <r>
    <x v="920"/>
    <s v="05-05-2024"/>
    <s v="C105"/>
    <s v="P205"/>
    <x v="2"/>
    <x v="0"/>
    <n v="10"/>
    <n v="1051"/>
    <s v="Chair"/>
    <x v="0"/>
    <n v="150"/>
    <x v="1"/>
    <x v="1"/>
    <n v="10510"/>
    <n v="9010"/>
  </r>
  <r>
    <x v="921"/>
    <s v="06-10-2024"/>
    <s v="C105"/>
    <s v="P204"/>
    <x v="2"/>
    <x v="3"/>
    <n v="7"/>
    <n v="1174"/>
    <s v="Desk"/>
    <x v="0"/>
    <n v="300"/>
    <x v="1"/>
    <x v="1"/>
    <n v="8218"/>
    <n v="6118"/>
  </r>
  <r>
    <x v="922"/>
    <s v="19-07-2024"/>
    <s v="C105"/>
    <s v="P205"/>
    <x v="3"/>
    <x v="2"/>
    <n v="1"/>
    <n v="1136"/>
    <s v="Chair"/>
    <x v="0"/>
    <n v="150"/>
    <x v="1"/>
    <x v="1"/>
    <n v="1136"/>
    <n v="986"/>
  </r>
  <r>
    <x v="923"/>
    <s v="05-02-2024"/>
    <s v="C103"/>
    <s v="P204"/>
    <x v="1"/>
    <x v="3"/>
    <n v="7"/>
    <n v="1635"/>
    <s v="Desk"/>
    <x v="0"/>
    <n v="300"/>
    <x v="3"/>
    <x v="0"/>
    <n v="11445"/>
    <n v="9345"/>
  </r>
  <r>
    <x v="924"/>
    <s v="19-10-2024"/>
    <s v="C105"/>
    <s v="P201"/>
    <x v="0"/>
    <x v="3"/>
    <n v="3"/>
    <n v="1274"/>
    <s v="Laptop"/>
    <x v="1"/>
    <n v="900"/>
    <x v="1"/>
    <x v="1"/>
    <n v="3822"/>
    <n v="1122"/>
  </r>
  <r>
    <x v="925"/>
    <s v="13-09-2024"/>
    <s v="C103"/>
    <s v="P202"/>
    <x v="3"/>
    <x v="0"/>
    <n v="8"/>
    <n v="1382"/>
    <s v="Printer"/>
    <x v="1"/>
    <n v="1100"/>
    <x v="3"/>
    <x v="0"/>
    <n v="11056"/>
    <n v="2256"/>
  </r>
  <r>
    <x v="926"/>
    <s v="19-03-2024"/>
    <s v="C102"/>
    <s v="P201"/>
    <x v="3"/>
    <x v="0"/>
    <n v="10"/>
    <n v="1002"/>
    <s v="Laptop"/>
    <x v="1"/>
    <n v="900"/>
    <x v="4"/>
    <x v="1"/>
    <n v="10020"/>
    <n v="1020"/>
  </r>
  <r>
    <x v="927"/>
    <s v="20-05-2024"/>
    <s v="C105"/>
    <s v="P201"/>
    <x v="3"/>
    <x v="1"/>
    <n v="3"/>
    <n v="1614"/>
    <s v="Laptop"/>
    <x v="1"/>
    <n v="900"/>
    <x v="1"/>
    <x v="1"/>
    <n v="4842"/>
    <n v="2142"/>
  </r>
  <r>
    <x v="928"/>
    <s v="06-07-2024"/>
    <s v="C105"/>
    <s v="P203"/>
    <x v="1"/>
    <x v="0"/>
    <n v="5"/>
    <n v="1020"/>
    <s v="Mobile"/>
    <x v="1"/>
    <n v="600"/>
    <x v="1"/>
    <x v="1"/>
    <n v="5100"/>
    <n v="2100"/>
  </r>
  <r>
    <x v="929"/>
    <s v="09-02-2024"/>
    <s v="C103"/>
    <s v="P205"/>
    <x v="0"/>
    <x v="2"/>
    <n v="8"/>
    <n v="1338"/>
    <s v="Chair"/>
    <x v="0"/>
    <n v="150"/>
    <x v="3"/>
    <x v="0"/>
    <n v="10704"/>
    <n v="9504"/>
  </r>
  <r>
    <x v="930"/>
    <s v="11-04-2024"/>
    <s v="C105"/>
    <s v="P204"/>
    <x v="1"/>
    <x v="1"/>
    <n v="9"/>
    <n v="838"/>
    <s v="Desk"/>
    <x v="0"/>
    <n v="300"/>
    <x v="1"/>
    <x v="1"/>
    <n v="7542"/>
    <n v="4842"/>
  </r>
  <r>
    <x v="931"/>
    <s v="03-08-2024"/>
    <s v="C103"/>
    <s v="P201"/>
    <x v="1"/>
    <x v="2"/>
    <n v="2"/>
    <n v="1408"/>
    <s v="Laptop"/>
    <x v="1"/>
    <n v="900"/>
    <x v="3"/>
    <x v="0"/>
    <n v="2816"/>
    <n v="1016"/>
  </r>
  <r>
    <x v="932"/>
    <s v="03-01-2024"/>
    <s v="C103"/>
    <s v="P205"/>
    <x v="3"/>
    <x v="1"/>
    <n v="7"/>
    <n v="1710"/>
    <s v="Chair"/>
    <x v="0"/>
    <n v="150"/>
    <x v="3"/>
    <x v="0"/>
    <n v="11970"/>
    <n v="10920"/>
  </r>
  <r>
    <x v="933"/>
    <s v="04-10-2024"/>
    <s v="C104"/>
    <s v="P205"/>
    <x v="2"/>
    <x v="3"/>
    <n v="1"/>
    <n v="1646"/>
    <s v="Chair"/>
    <x v="0"/>
    <n v="150"/>
    <x v="0"/>
    <x v="0"/>
    <n v="1646"/>
    <n v="1496"/>
  </r>
  <r>
    <x v="934"/>
    <s v="17-05-2024"/>
    <s v="C105"/>
    <s v="P202"/>
    <x v="2"/>
    <x v="2"/>
    <n v="8"/>
    <n v="1131"/>
    <s v="Printer"/>
    <x v="1"/>
    <n v="1100"/>
    <x v="1"/>
    <x v="1"/>
    <n v="9048"/>
    <n v="248"/>
  </r>
  <r>
    <x v="935"/>
    <s v="03-01-2024"/>
    <s v="C103"/>
    <s v="P203"/>
    <x v="3"/>
    <x v="1"/>
    <n v="6"/>
    <n v="1269"/>
    <s v="Mobile"/>
    <x v="1"/>
    <n v="600"/>
    <x v="3"/>
    <x v="0"/>
    <n v="7614"/>
    <n v="4014"/>
  </r>
  <r>
    <x v="936"/>
    <s v="25-11-2024"/>
    <s v="C105"/>
    <s v="P201"/>
    <x v="3"/>
    <x v="3"/>
    <n v="10"/>
    <n v="1869"/>
    <s v="Laptop"/>
    <x v="1"/>
    <n v="900"/>
    <x v="1"/>
    <x v="1"/>
    <n v="18690"/>
    <n v="9690"/>
  </r>
  <r>
    <x v="937"/>
    <s v="26-10-2024"/>
    <s v="C103"/>
    <s v="P201"/>
    <x v="3"/>
    <x v="2"/>
    <n v="10"/>
    <n v="1106"/>
    <s v="Laptop"/>
    <x v="1"/>
    <n v="900"/>
    <x v="3"/>
    <x v="0"/>
    <n v="11060"/>
    <n v="2060"/>
  </r>
  <r>
    <x v="938"/>
    <s v="08-10-2024"/>
    <s v="C105"/>
    <s v="P203"/>
    <x v="1"/>
    <x v="1"/>
    <n v="5"/>
    <n v="1723"/>
    <s v="Mobile"/>
    <x v="1"/>
    <n v="600"/>
    <x v="1"/>
    <x v="1"/>
    <n v="8615"/>
    <n v="5615"/>
  </r>
  <r>
    <x v="939"/>
    <s v="03-07-2024"/>
    <s v="C102"/>
    <s v="P205"/>
    <x v="1"/>
    <x v="2"/>
    <n v="10"/>
    <n v="1019"/>
    <s v="Chair"/>
    <x v="0"/>
    <n v="150"/>
    <x v="4"/>
    <x v="1"/>
    <n v="10190"/>
    <n v="8690"/>
  </r>
  <r>
    <x v="940"/>
    <s v="21-01-2024"/>
    <s v="C102"/>
    <s v="P203"/>
    <x v="0"/>
    <x v="2"/>
    <n v="7"/>
    <n v="1657"/>
    <s v="Mobile"/>
    <x v="1"/>
    <n v="600"/>
    <x v="4"/>
    <x v="1"/>
    <n v="11599"/>
    <n v="7399"/>
  </r>
  <r>
    <x v="941"/>
    <s v="27-06-2024"/>
    <s v="C102"/>
    <s v="P204"/>
    <x v="1"/>
    <x v="0"/>
    <n v="10"/>
    <n v="1217"/>
    <s v="Desk"/>
    <x v="0"/>
    <n v="300"/>
    <x v="4"/>
    <x v="1"/>
    <n v="12170"/>
    <n v="9170"/>
  </r>
  <r>
    <x v="942"/>
    <s v="26-10-2024"/>
    <s v="C102"/>
    <s v="P201"/>
    <x v="0"/>
    <x v="3"/>
    <n v="2"/>
    <n v="1333"/>
    <s v="Laptop"/>
    <x v="1"/>
    <n v="900"/>
    <x v="4"/>
    <x v="1"/>
    <n v="2666"/>
    <n v="866"/>
  </r>
  <r>
    <x v="943"/>
    <s v="19-11-2024"/>
    <s v="C103"/>
    <s v="P203"/>
    <x v="0"/>
    <x v="1"/>
    <n v="7"/>
    <n v="1054"/>
    <s v="Mobile"/>
    <x v="1"/>
    <n v="600"/>
    <x v="3"/>
    <x v="0"/>
    <n v="7378"/>
    <n v="3178"/>
  </r>
  <r>
    <x v="944"/>
    <s v="15-09-2024"/>
    <s v="C104"/>
    <s v="P201"/>
    <x v="2"/>
    <x v="1"/>
    <n v="7"/>
    <n v="1852"/>
    <s v="Laptop"/>
    <x v="1"/>
    <n v="900"/>
    <x v="0"/>
    <x v="0"/>
    <n v="12964"/>
    <n v="6664"/>
  </r>
  <r>
    <x v="945"/>
    <s v="08-08-2024"/>
    <s v="C101"/>
    <s v="P202"/>
    <x v="1"/>
    <x v="0"/>
    <n v="4"/>
    <n v="1330"/>
    <s v="Printer"/>
    <x v="1"/>
    <n v="1100"/>
    <x v="2"/>
    <x v="1"/>
    <n v="5320"/>
    <n v="920"/>
  </r>
  <r>
    <x v="946"/>
    <s v="25-04-2024"/>
    <s v="C104"/>
    <s v="P201"/>
    <x v="0"/>
    <x v="1"/>
    <n v="9"/>
    <n v="1118"/>
    <s v="Laptop"/>
    <x v="1"/>
    <n v="900"/>
    <x v="0"/>
    <x v="0"/>
    <n v="10062"/>
    <n v="1962"/>
  </r>
  <r>
    <x v="947"/>
    <s v="14-10-2024"/>
    <s v="C102"/>
    <s v="P202"/>
    <x v="3"/>
    <x v="1"/>
    <n v="3"/>
    <n v="1084"/>
    <s v="Printer"/>
    <x v="1"/>
    <n v="1100"/>
    <x v="4"/>
    <x v="1"/>
    <n v="3252"/>
    <n v="-48"/>
  </r>
  <r>
    <x v="948"/>
    <s v="04-10-2024"/>
    <s v="C103"/>
    <s v="P204"/>
    <x v="1"/>
    <x v="3"/>
    <n v="9"/>
    <n v="1458"/>
    <s v="Desk"/>
    <x v="0"/>
    <n v="300"/>
    <x v="3"/>
    <x v="0"/>
    <n v="13122"/>
    <n v="10422"/>
  </r>
  <r>
    <x v="949"/>
    <s v="09-03-2024"/>
    <s v="C105"/>
    <s v="P202"/>
    <x v="3"/>
    <x v="1"/>
    <n v="10"/>
    <n v="1950"/>
    <s v="Printer"/>
    <x v="1"/>
    <n v="1100"/>
    <x v="1"/>
    <x v="1"/>
    <n v="19500"/>
    <n v="8500"/>
  </r>
  <r>
    <x v="950"/>
    <s v="25-09-2024"/>
    <s v="C105"/>
    <s v="P203"/>
    <x v="0"/>
    <x v="3"/>
    <n v="7"/>
    <n v="1679"/>
    <s v="Mobile"/>
    <x v="1"/>
    <n v="600"/>
    <x v="1"/>
    <x v="1"/>
    <n v="11753"/>
    <n v="7553"/>
  </r>
  <r>
    <x v="951"/>
    <s v="27-09-2024"/>
    <s v="C101"/>
    <s v="P204"/>
    <x v="0"/>
    <x v="1"/>
    <n v="3"/>
    <n v="908"/>
    <s v="Desk"/>
    <x v="0"/>
    <n v="300"/>
    <x v="2"/>
    <x v="1"/>
    <n v="2724"/>
    <n v="1824"/>
  </r>
  <r>
    <x v="952"/>
    <s v="28-03-2024"/>
    <s v="C102"/>
    <s v="P203"/>
    <x v="2"/>
    <x v="2"/>
    <n v="5"/>
    <n v="1766"/>
    <s v="Mobile"/>
    <x v="1"/>
    <n v="600"/>
    <x v="4"/>
    <x v="1"/>
    <n v="8830"/>
    <n v="5830"/>
  </r>
  <r>
    <x v="953"/>
    <s v="10-10-2024"/>
    <s v="C103"/>
    <s v="P205"/>
    <x v="2"/>
    <x v="2"/>
    <n v="9"/>
    <n v="1589"/>
    <s v="Chair"/>
    <x v="0"/>
    <n v="150"/>
    <x v="3"/>
    <x v="0"/>
    <n v="14301"/>
    <n v="12951"/>
  </r>
  <r>
    <x v="954"/>
    <s v="06-10-2024"/>
    <s v="C103"/>
    <s v="P202"/>
    <x v="2"/>
    <x v="0"/>
    <n v="4"/>
    <n v="1242"/>
    <s v="Printer"/>
    <x v="1"/>
    <n v="1100"/>
    <x v="3"/>
    <x v="0"/>
    <n v="4968"/>
    <n v="568"/>
  </r>
  <r>
    <x v="955"/>
    <s v="19-08-2024"/>
    <s v="C105"/>
    <s v="P205"/>
    <x v="0"/>
    <x v="3"/>
    <n v="4"/>
    <n v="1530"/>
    <s v="Chair"/>
    <x v="0"/>
    <n v="150"/>
    <x v="1"/>
    <x v="1"/>
    <n v="6120"/>
    <n v="5520"/>
  </r>
  <r>
    <x v="956"/>
    <s v="02-05-2024"/>
    <s v="C105"/>
    <s v="P201"/>
    <x v="3"/>
    <x v="2"/>
    <n v="2"/>
    <n v="1258"/>
    <s v="Laptop"/>
    <x v="1"/>
    <n v="900"/>
    <x v="1"/>
    <x v="1"/>
    <n v="2516"/>
    <n v="716"/>
  </r>
  <r>
    <x v="957"/>
    <s v="30-08-2024"/>
    <s v="C103"/>
    <s v="P202"/>
    <x v="3"/>
    <x v="2"/>
    <n v="8"/>
    <n v="1310"/>
    <s v="Printer"/>
    <x v="1"/>
    <n v="1100"/>
    <x v="3"/>
    <x v="0"/>
    <n v="10480"/>
    <n v="1680"/>
  </r>
  <r>
    <x v="958"/>
    <s v="10-08-2024"/>
    <s v="C102"/>
    <s v="P205"/>
    <x v="0"/>
    <x v="1"/>
    <n v="8"/>
    <n v="1895"/>
    <s v="Chair"/>
    <x v="0"/>
    <n v="150"/>
    <x v="4"/>
    <x v="1"/>
    <n v="15160"/>
    <n v="13960"/>
  </r>
  <r>
    <x v="959"/>
    <s v="15-01-2024"/>
    <s v="C101"/>
    <s v="P205"/>
    <x v="0"/>
    <x v="2"/>
    <n v="10"/>
    <n v="1971"/>
    <s v="Chair"/>
    <x v="0"/>
    <n v="150"/>
    <x v="2"/>
    <x v="1"/>
    <n v="19710"/>
    <n v="18210"/>
  </r>
  <r>
    <x v="960"/>
    <s v="26-10-2024"/>
    <s v="C102"/>
    <s v="P203"/>
    <x v="3"/>
    <x v="2"/>
    <n v="2"/>
    <n v="1931"/>
    <s v="Mobile"/>
    <x v="1"/>
    <n v="600"/>
    <x v="4"/>
    <x v="1"/>
    <n v="3862"/>
    <n v="2662"/>
  </r>
  <r>
    <x v="961"/>
    <s v="25-09-2024"/>
    <s v="C103"/>
    <s v="P203"/>
    <x v="0"/>
    <x v="1"/>
    <n v="8"/>
    <n v="1112"/>
    <s v="Mobile"/>
    <x v="1"/>
    <n v="600"/>
    <x v="3"/>
    <x v="0"/>
    <n v="8896"/>
    <n v="4096"/>
  </r>
  <r>
    <x v="962"/>
    <s v="20-08-2024"/>
    <s v="C103"/>
    <s v="P201"/>
    <x v="2"/>
    <x v="0"/>
    <n v="9"/>
    <n v="838"/>
    <s v="Laptop"/>
    <x v="1"/>
    <n v="900"/>
    <x v="3"/>
    <x v="0"/>
    <n v="7542"/>
    <n v="-558"/>
  </r>
  <r>
    <x v="963"/>
    <s v="02-09-2024"/>
    <s v="C102"/>
    <s v="P203"/>
    <x v="0"/>
    <x v="2"/>
    <n v="5"/>
    <n v="1832"/>
    <s v="Mobile"/>
    <x v="1"/>
    <n v="600"/>
    <x v="4"/>
    <x v="1"/>
    <n v="9160"/>
    <n v="6160"/>
  </r>
  <r>
    <x v="964"/>
    <s v="04-03-2024"/>
    <s v="C103"/>
    <s v="P202"/>
    <x v="2"/>
    <x v="2"/>
    <n v="8"/>
    <n v="1624"/>
    <s v="Printer"/>
    <x v="1"/>
    <n v="1100"/>
    <x v="3"/>
    <x v="0"/>
    <n v="12992"/>
    <n v="4192"/>
  </r>
  <r>
    <x v="965"/>
    <s v="30-11-2024"/>
    <s v="C102"/>
    <s v="P202"/>
    <x v="0"/>
    <x v="1"/>
    <n v="3"/>
    <n v="1744"/>
    <s v="Printer"/>
    <x v="1"/>
    <n v="1100"/>
    <x v="4"/>
    <x v="1"/>
    <n v="5232"/>
    <n v="1932"/>
  </r>
  <r>
    <x v="966"/>
    <s v="02-02-2024"/>
    <s v="C101"/>
    <s v="P203"/>
    <x v="2"/>
    <x v="0"/>
    <n v="5"/>
    <n v="1288"/>
    <s v="Mobile"/>
    <x v="1"/>
    <n v="600"/>
    <x v="2"/>
    <x v="1"/>
    <n v="6440"/>
    <n v="3440"/>
  </r>
  <r>
    <x v="967"/>
    <s v="16-03-2024"/>
    <s v="C101"/>
    <s v="P205"/>
    <x v="1"/>
    <x v="1"/>
    <n v="6"/>
    <n v="1643"/>
    <s v="Chair"/>
    <x v="0"/>
    <n v="150"/>
    <x v="2"/>
    <x v="1"/>
    <n v="9858"/>
    <n v="8958"/>
  </r>
  <r>
    <x v="968"/>
    <s v="17-12-2024"/>
    <s v="C104"/>
    <s v="P203"/>
    <x v="0"/>
    <x v="2"/>
    <n v="2"/>
    <n v="1233"/>
    <s v="Mobile"/>
    <x v="1"/>
    <n v="600"/>
    <x v="0"/>
    <x v="0"/>
    <n v="2466"/>
    <n v="1266"/>
  </r>
  <r>
    <x v="969"/>
    <s v="30-06-2024"/>
    <s v="C101"/>
    <s v="P202"/>
    <x v="3"/>
    <x v="2"/>
    <n v="9"/>
    <n v="1483"/>
    <s v="Printer"/>
    <x v="1"/>
    <n v="1100"/>
    <x v="2"/>
    <x v="1"/>
    <n v="13347"/>
    <n v="3447"/>
  </r>
  <r>
    <x v="970"/>
    <s v="19-12-2024"/>
    <s v="C101"/>
    <s v="P205"/>
    <x v="2"/>
    <x v="1"/>
    <n v="1"/>
    <n v="1074"/>
    <s v="Chair"/>
    <x v="0"/>
    <n v="150"/>
    <x v="2"/>
    <x v="1"/>
    <n v="1074"/>
    <n v="924"/>
  </r>
  <r>
    <x v="971"/>
    <s v="25-12-2024"/>
    <s v="C102"/>
    <s v="P201"/>
    <x v="0"/>
    <x v="1"/>
    <n v="1"/>
    <n v="1311"/>
    <s v="Laptop"/>
    <x v="1"/>
    <n v="900"/>
    <x v="4"/>
    <x v="1"/>
    <n v="1311"/>
    <n v="411"/>
  </r>
  <r>
    <x v="972"/>
    <s v="18-02-2024"/>
    <s v="C103"/>
    <s v="P201"/>
    <x v="2"/>
    <x v="1"/>
    <n v="4"/>
    <n v="1321"/>
    <s v="Laptop"/>
    <x v="1"/>
    <n v="900"/>
    <x v="3"/>
    <x v="0"/>
    <n v="5284"/>
    <n v="1684"/>
  </r>
  <r>
    <x v="973"/>
    <s v="17-03-2024"/>
    <s v="C103"/>
    <s v="P201"/>
    <x v="1"/>
    <x v="1"/>
    <n v="9"/>
    <n v="1899"/>
    <s v="Laptop"/>
    <x v="1"/>
    <n v="900"/>
    <x v="3"/>
    <x v="0"/>
    <n v="17091"/>
    <n v="8991"/>
  </r>
  <r>
    <x v="974"/>
    <s v="25-10-2024"/>
    <s v="C101"/>
    <s v="P201"/>
    <x v="3"/>
    <x v="1"/>
    <n v="2"/>
    <n v="955"/>
    <s v="Laptop"/>
    <x v="1"/>
    <n v="900"/>
    <x v="2"/>
    <x v="1"/>
    <n v="1910"/>
    <n v="110"/>
  </r>
  <r>
    <x v="975"/>
    <s v="12-09-2024"/>
    <s v="C104"/>
    <s v="P202"/>
    <x v="1"/>
    <x v="1"/>
    <n v="5"/>
    <n v="1068"/>
    <s v="Printer"/>
    <x v="1"/>
    <n v="1100"/>
    <x v="0"/>
    <x v="0"/>
    <n v="5340"/>
    <n v="-160"/>
  </r>
  <r>
    <x v="976"/>
    <s v="24-08-2024"/>
    <s v="C105"/>
    <s v="P204"/>
    <x v="1"/>
    <x v="1"/>
    <n v="8"/>
    <n v="1706"/>
    <s v="Desk"/>
    <x v="0"/>
    <n v="300"/>
    <x v="1"/>
    <x v="1"/>
    <n v="13648"/>
    <n v="11248"/>
  </r>
  <r>
    <x v="977"/>
    <s v="25-08-2024"/>
    <s v="C102"/>
    <s v="P201"/>
    <x v="2"/>
    <x v="0"/>
    <n v="9"/>
    <n v="1650"/>
    <s v="Laptop"/>
    <x v="1"/>
    <n v="900"/>
    <x v="4"/>
    <x v="1"/>
    <n v="14850"/>
    <n v="6750"/>
  </r>
  <r>
    <x v="978"/>
    <s v="03-09-2024"/>
    <s v="C104"/>
    <s v="P204"/>
    <x v="2"/>
    <x v="1"/>
    <n v="3"/>
    <n v="1114"/>
    <s v="Desk"/>
    <x v="0"/>
    <n v="300"/>
    <x v="0"/>
    <x v="0"/>
    <n v="3342"/>
    <n v="2442"/>
  </r>
  <r>
    <x v="979"/>
    <s v="02-08-2024"/>
    <s v="C105"/>
    <s v="P203"/>
    <x v="0"/>
    <x v="1"/>
    <n v="4"/>
    <n v="1452"/>
    <s v="Mobile"/>
    <x v="1"/>
    <n v="600"/>
    <x v="1"/>
    <x v="1"/>
    <n v="5808"/>
    <n v="3408"/>
  </r>
  <r>
    <x v="980"/>
    <s v="02-08-2024"/>
    <s v="C103"/>
    <s v="P201"/>
    <x v="2"/>
    <x v="3"/>
    <n v="9"/>
    <n v="1291"/>
    <s v="Laptop"/>
    <x v="1"/>
    <n v="900"/>
    <x v="3"/>
    <x v="0"/>
    <n v="11619"/>
    <n v="3519"/>
  </r>
  <r>
    <x v="981"/>
    <s v="22-03-2024"/>
    <s v="C102"/>
    <s v="P203"/>
    <x v="2"/>
    <x v="0"/>
    <n v="9"/>
    <n v="1449"/>
    <s v="Mobile"/>
    <x v="1"/>
    <n v="600"/>
    <x v="4"/>
    <x v="1"/>
    <n v="13041"/>
    <n v="7641"/>
  </r>
  <r>
    <x v="982"/>
    <s v="01-01-2024"/>
    <s v="C105"/>
    <s v="P203"/>
    <x v="0"/>
    <x v="1"/>
    <n v="5"/>
    <n v="1084"/>
    <s v="Mobile"/>
    <x v="1"/>
    <n v="600"/>
    <x v="1"/>
    <x v="1"/>
    <n v="5420"/>
    <n v="2420"/>
  </r>
  <r>
    <x v="983"/>
    <s v="23-12-2024"/>
    <s v="C105"/>
    <s v="P205"/>
    <x v="3"/>
    <x v="0"/>
    <n v="4"/>
    <n v="1695"/>
    <s v="Chair"/>
    <x v="0"/>
    <n v="150"/>
    <x v="1"/>
    <x v="1"/>
    <n v="6780"/>
    <n v="6180"/>
  </r>
  <r>
    <x v="984"/>
    <s v="15-11-2024"/>
    <s v="C103"/>
    <s v="P205"/>
    <x v="3"/>
    <x v="2"/>
    <n v="4"/>
    <n v="1165"/>
    <s v="Chair"/>
    <x v="0"/>
    <n v="150"/>
    <x v="3"/>
    <x v="0"/>
    <n v="4660"/>
    <n v="4060"/>
  </r>
  <r>
    <x v="985"/>
    <s v="16-12-2024"/>
    <s v="C101"/>
    <s v="P202"/>
    <x v="1"/>
    <x v="0"/>
    <n v="2"/>
    <n v="1570"/>
    <s v="Printer"/>
    <x v="1"/>
    <n v="1100"/>
    <x v="2"/>
    <x v="1"/>
    <n v="3140"/>
    <n v="940"/>
  </r>
  <r>
    <x v="986"/>
    <s v="21-09-2024"/>
    <s v="C105"/>
    <s v="P204"/>
    <x v="3"/>
    <x v="1"/>
    <n v="8"/>
    <n v="1298"/>
    <s v="Desk"/>
    <x v="0"/>
    <n v="300"/>
    <x v="1"/>
    <x v="1"/>
    <n v="10384"/>
    <n v="7984"/>
  </r>
  <r>
    <x v="987"/>
    <s v="20-01-2024"/>
    <s v="C103"/>
    <s v="P205"/>
    <x v="1"/>
    <x v="0"/>
    <n v="1"/>
    <n v="1814"/>
    <s v="Chair"/>
    <x v="0"/>
    <n v="150"/>
    <x v="3"/>
    <x v="0"/>
    <n v="1814"/>
    <n v="1664"/>
  </r>
  <r>
    <x v="988"/>
    <s v="12-05-2024"/>
    <s v="C103"/>
    <s v="P204"/>
    <x v="2"/>
    <x v="0"/>
    <n v="9"/>
    <n v="1184"/>
    <s v="Desk"/>
    <x v="0"/>
    <n v="300"/>
    <x v="3"/>
    <x v="0"/>
    <n v="10656"/>
    <n v="7956"/>
  </r>
  <r>
    <x v="989"/>
    <s v="22-07-2024"/>
    <s v="C103"/>
    <s v="P201"/>
    <x v="2"/>
    <x v="2"/>
    <n v="7"/>
    <n v="1469"/>
    <s v="Laptop"/>
    <x v="1"/>
    <n v="900"/>
    <x v="3"/>
    <x v="0"/>
    <n v="10283"/>
    <n v="3983"/>
  </r>
  <r>
    <x v="990"/>
    <s v="20-12-2024"/>
    <s v="C104"/>
    <s v="P205"/>
    <x v="2"/>
    <x v="1"/>
    <n v="7"/>
    <n v="1016"/>
    <s v="Chair"/>
    <x v="0"/>
    <n v="150"/>
    <x v="0"/>
    <x v="0"/>
    <n v="7112"/>
    <n v="6062"/>
  </r>
  <r>
    <x v="991"/>
    <s v="22-07-2024"/>
    <s v="C105"/>
    <s v="P204"/>
    <x v="1"/>
    <x v="2"/>
    <n v="4"/>
    <n v="867"/>
    <s v="Desk"/>
    <x v="0"/>
    <n v="300"/>
    <x v="1"/>
    <x v="1"/>
    <n v="3468"/>
    <n v="2268"/>
  </r>
  <r>
    <x v="992"/>
    <s v="17-12-2024"/>
    <s v="C105"/>
    <s v="P202"/>
    <x v="0"/>
    <x v="2"/>
    <n v="6"/>
    <n v="1135"/>
    <s v="Printer"/>
    <x v="1"/>
    <n v="1100"/>
    <x v="1"/>
    <x v="1"/>
    <n v="6810"/>
    <n v="210"/>
  </r>
  <r>
    <x v="993"/>
    <s v="02-08-2024"/>
    <s v="C101"/>
    <s v="P205"/>
    <x v="3"/>
    <x v="3"/>
    <n v="8"/>
    <n v="943"/>
    <s v="Chair"/>
    <x v="0"/>
    <n v="150"/>
    <x v="2"/>
    <x v="1"/>
    <n v="7544"/>
    <n v="6344"/>
  </r>
  <r>
    <x v="994"/>
    <s v="08-09-2024"/>
    <s v="C101"/>
    <s v="P202"/>
    <x v="1"/>
    <x v="3"/>
    <n v="5"/>
    <n v="1269"/>
    <s v="Printer"/>
    <x v="1"/>
    <n v="1100"/>
    <x v="2"/>
    <x v="1"/>
    <n v="6345"/>
    <n v="845"/>
  </r>
  <r>
    <x v="995"/>
    <s v="16-02-2024"/>
    <s v="C101"/>
    <s v="P204"/>
    <x v="1"/>
    <x v="1"/>
    <n v="6"/>
    <n v="1085"/>
    <s v="Desk"/>
    <x v="0"/>
    <n v="300"/>
    <x v="2"/>
    <x v="1"/>
    <n v="6510"/>
    <n v="4710"/>
  </r>
  <r>
    <x v="996"/>
    <s v="29-04-2024"/>
    <s v="C102"/>
    <s v="P204"/>
    <x v="1"/>
    <x v="1"/>
    <n v="4"/>
    <n v="1074"/>
    <s v="Desk"/>
    <x v="0"/>
    <n v="300"/>
    <x v="4"/>
    <x v="1"/>
    <n v="4296"/>
    <n v="3096"/>
  </r>
  <r>
    <x v="997"/>
    <s v="02-04-2024"/>
    <s v="C103"/>
    <s v="P201"/>
    <x v="1"/>
    <x v="2"/>
    <n v="9"/>
    <n v="1713"/>
    <s v="Laptop"/>
    <x v="1"/>
    <n v="900"/>
    <x v="3"/>
    <x v="0"/>
    <n v="15417"/>
    <n v="7317"/>
  </r>
  <r>
    <x v="998"/>
    <s v="13-03-2024"/>
    <s v="C101"/>
    <s v="P205"/>
    <x v="2"/>
    <x v="0"/>
    <n v="8"/>
    <n v="1484"/>
    <s v="Chair"/>
    <x v="0"/>
    <n v="150"/>
    <x v="2"/>
    <x v="1"/>
    <n v="11872"/>
    <n v="10672"/>
  </r>
  <r>
    <x v="999"/>
    <s v="13-01-2024"/>
    <s v="C101"/>
    <s v="P202"/>
    <x v="1"/>
    <x v="2"/>
    <n v="9"/>
    <n v="1022"/>
    <s v="Printer"/>
    <x v="1"/>
    <n v="1100"/>
    <x v="2"/>
    <x v="1"/>
    <n v="9198"/>
    <n v="-7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5DA7E4-0BD6-45AD-85AA-AEF6502193C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fieldListSortAscending="1">
  <location ref="A61:B67" firstHeaderRow="1" firstDataRow="1" firstDataCol="1"/>
  <pivotFields count="15">
    <pivotField showAll="0"/>
    <pivotField showAll="0"/>
    <pivotField showAll="0"/>
    <pivotField showAll="0"/>
    <pivotField showAll="0">
      <items count="5">
        <item x="3"/>
        <item x="0"/>
        <item x="1"/>
        <item x="2"/>
        <item t="default"/>
      </items>
    </pivotField>
    <pivotField showAll="0"/>
    <pivotField showAll="0"/>
    <pivotField showAll="0"/>
    <pivotField showAll="0"/>
    <pivotField showAll="0">
      <items count="3">
        <item x="1"/>
        <item x="0"/>
        <item t="default"/>
      </items>
    </pivotField>
    <pivotField showAll="0"/>
    <pivotField axis="axisRow" showAll="0" measureFilter="1" sortType="descending">
      <items count="6">
        <item x="4"/>
        <item x="0"/>
        <item x="1"/>
        <item x="3"/>
        <item x="2"/>
        <item t="default"/>
      </items>
    </pivotField>
    <pivotField showAll="0">
      <items count="3">
        <item x="0"/>
        <item x="1"/>
        <item t="default"/>
      </items>
    </pivotField>
    <pivotField dataField="1" showAll="0"/>
    <pivotField showAll="0"/>
  </pivotFields>
  <rowFields count="1">
    <field x="11"/>
  </rowFields>
  <rowItems count="6">
    <i>
      <x/>
    </i>
    <i>
      <x v="1"/>
    </i>
    <i>
      <x v="2"/>
    </i>
    <i>
      <x v="3"/>
    </i>
    <i>
      <x v="4"/>
    </i>
    <i t="grand">
      <x/>
    </i>
  </rowItems>
  <colItems count="1">
    <i/>
  </colItems>
  <dataFields count="1">
    <dataField name="Sum of Total_Sales" fld="13"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453E83-34DD-48F4-94BE-3D1BB5E85D9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0:B45" firstHeaderRow="1" firstDataRow="1" firstDataCol="1"/>
  <pivotFields count="15">
    <pivotField showAll="0"/>
    <pivotField showAll="0"/>
    <pivotField showAll="0"/>
    <pivotField showAll="0"/>
    <pivotField showAll="0">
      <items count="5">
        <item x="3"/>
        <item x="0"/>
        <item x="1"/>
        <item x="2"/>
        <item t="default"/>
      </items>
    </pivotField>
    <pivotField axis="axisRow" showAll="0">
      <items count="5">
        <item x="0"/>
        <item x="2"/>
        <item x="1"/>
        <item x="3"/>
        <item t="default"/>
      </items>
    </pivotField>
    <pivotField showAll="0"/>
    <pivotField showAll="0"/>
    <pivotField showAll="0"/>
    <pivotField showAll="0">
      <items count="3">
        <item x="1"/>
        <item x="0"/>
        <item t="default"/>
      </items>
    </pivotField>
    <pivotField showAll="0"/>
    <pivotField showAll="0"/>
    <pivotField showAll="0">
      <items count="3">
        <item x="0"/>
        <item x="1"/>
        <item t="default"/>
      </items>
    </pivotField>
    <pivotField dataField="1" showAll="0"/>
    <pivotField showAll="0"/>
  </pivotFields>
  <rowFields count="1">
    <field x="5"/>
  </rowFields>
  <rowItems count="5">
    <i>
      <x/>
    </i>
    <i>
      <x v="1"/>
    </i>
    <i>
      <x v="2"/>
    </i>
    <i>
      <x v="3"/>
    </i>
    <i t="grand">
      <x/>
    </i>
  </rowItems>
  <colItems count="1">
    <i/>
  </colItems>
  <dataFields count="1">
    <dataField name="Sum of Total_Sales" fld="1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573567-BD8F-40FD-9E0F-856F7E619BD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1:B24" firstHeaderRow="1" firstDataRow="1" firstDataCol="1"/>
  <pivotFields count="15">
    <pivotField showAll="0"/>
    <pivotField showAll="0"/>
    <pivotField showAll="0"/>
    <pivotField showAll="0"/>
    <pivotField showAll="0">
      <items count="5">
        <item x="3"/>
        <item x="0"/>
        <item x="1"/>
        <item x="2"/>
        <item t="default"/>
      </items>
    </pivotField>
    <pivotField showAll="0"/>
    <pivotField showAll="0"/>
    <pivotField showAll="0"/>
    <pivotField showAll="0"/>
    <pivotField axis="axisRow" showAll="0">
      <items count="3">
        <item x="1"/>
        <item x="0"/>
        <item t="default"/>
      </items>
    </pivotField>
    <pivotField showAll="0"/>
    <pivotField showAll="0"/>
    <pivotField showAll="0">
      <items count="3">
        <item x="0"/>
        <item x="1"/>
        <item t="default"/>
      </items>
    </pivotField>
    <pivotField showAll="0"/>
    <pivotField dataField="1" showAll="0"/>
  </pivotFields>
  <rowFields count="1">
    <field x="9"/>
  </rowFields>
  <rowItems count="3">
    <i>
      <x/>
    </i>
    <i>
      <x v="1"/>
    </i>
    <i t="grand">
      <x/>
    </i>
  </rowItems>
  <colItems count="1">
    <i/>
  </colItems>
  <dataFields count="1">
    <dataField name="Sum of Profit" fld="1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7C46E4-B18E-465E-AE35-6030ACD139E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5">
    <pivotField showAll="0"/>
    <pivotField showAll="0"/>
    <pivotField showAll="0"/>
    <pivotField showAll="0"/>
    <pivotField axis="axisRow" showAll="0">
      <items count="5">
        <item x="3"/>
        <item x="0"/>
        <item x="1"/>
        <item x="2"/>
        <item t="default"/>
      </items>
    </pivotField>
    <pivotField showAll="0"/>
    <pivotField showAll="0"/>
    <pivotField showAll="0"/>
    <pivotField showAll="0"/>
    <pivotField showAll="0">
      <items count="3">
        <item x="1"/>
        <item x="0"/>
        <item t="default"/>
      </items>
    </pivotField>
    <pivotField showAll="0"/>
    <pivotField showAll="0"/>
    <pivotField showAll="0">
      <items count="3">
        <item x="0"/>
        <item x="1"/>
        <item t="default"/>
      </items>
    </pivotField>
    <pivotField dataField="1" showAll="0"/>
    <pivotField showAll="0"/>
  </pivotFields>
  <rowFields count="1">
    <field x="4"/>
  </rowFields>
  <rowItems count="5">
    <i>
      <x/>
    </i>
    <i>
      <x v="1"/>
    </i>
    <i>
      <x v="2"/>
    </i>
    <i>
      <x v="3"/>
    </i>
    <i t="grand">
      <x/>
    </i>
  </rowItems>
  <colItems count="1">
    <i/>
  </colItems>
  <dataFields count="1">
    <dataField name="Sum of Total_Sales" fld="13"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1"/>
          </reference>
        </references>
      </pivotArea>
    </chartFormat>
    <chartFormat chart="0" format="2">
      <pivotArea type="data" outline="0" fieldPosition="0">
        <references count="2">
          <reference field="4294967294" count="1" selected="0">
            <x v="0"/>
          </reference>
          <reference field="4" count="1" selected="0">
            <x v="2"/>
          </reference>
        </references>
      </pivotArea>
    </chartFormat>
    <chartFormat chart="0" format="3">
      <pivotArea type="data" outline="0" fieldPosition="0">
        <references count="2">
          <reference field="4294967294" count="1" selected="0">
            <x v="0"/>
          </reference>
          <reference field="4" count="1" selected="0">
            <x v="3"/>
          </reference>
        </references>
      </pivotArea>
    </chartFormat>
    <chartFormat chart="0" format="4">
      <pivotArea type="data" outline="0" fieldPosition="0">
        <references count="2">
          <reference field="4294967294" count="1" selected="0">
            <x v="0"/>
          </reference>
          <reference field="4" count="1" selected="0">
            <x v="0"/>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4" count="1" selected="0">
            <x v="0"/>
          </reference>
        </references>
      </pivotArea>
    </chartFormat>
    <chartFormat chart="4" format="12">
      <pivotArea type="data" outline="0" fieldPosition="0">
        <references count="2">
          <reference field="4294967294" count="1" selected="0">
            <x v="0"/>
          </reference>
          <reference field="4" count="1" selected="0">
            <x v="1"/>
          </reference>
        </references>
      </pivotArea>
    </chartFormat>
    <chartFormat chart="4" format="13">
      <pivotArea type="data" outline="0" fieldPosition="0">
        <references count="2">
          <reference field="4294967294" count="1" selected="0">
            <x v="0"/>
          </reference>
          <reference field="4" count="1" selected="0">
            <x v="2"/>
          </reference>
        </references>
      </pivotArea>
    </chartFormat>
    <chartFormat chart="4"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170D51D-51DF-4024-8211-2CFE3DDEB6FB}" sourceName="Region">
  <pivotTables>
    <pivotTable tabId="5" name="PivotTable1"/>
    <pivotTable tabId="5" name="PivotTable4"/>
    <pivotTable tabId="5" name="PivotTable5"/>
    <pivotTable tabId="5" name="PivotTable6"/>
  </pivotTables>
  <data>
    <tabular pivotCacheId="2028557020">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7074C20-0995-4869-B974-3FA21CE08603}" sourceName="Category">
  <pivotTables>
    <pivotTable tabId="5" name="PivotTable1"/>
    <pivotTable tabId="5" name="PivotTable4"/>
    <pivotTable tabId="5" name="PivotTable5"/>
    <pivotTable tabId="5" name="PivotTable6"/>
  </pivotTables>
  <data>
    <tabular pivotCacheId="2028557020">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3D4B643-0A93-461C-A7A3-825304E8EAD0}" sourceName="Segment">
  <pivotTables>
    <pivotTable tabId="5" name="PivotTable1"/>
    <pivotTable tabId="5" name="PivotTable4"/>
    <pivotTable tabId="5" name="PivotTable5"/>
    <pivotTable tabId="5" name="PivotTable6"/>
  </pivotTables>
  <data>
    <tabular pivotCacheId="202855702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B92DCF4-FA75-4153-9C17-DC9A28D9CFC3}" cache="Slicer_Region" caption="Region" rowHeight="241300"/>
  <slicer name="Category" xr10:uid="{F612FE34-2A39-49BB-BF30-1E7C0C22A83F}" cache="Slicer_Category" caption="Category" rowHeight="241300"/>
  <slicer name="Segment" xr10:uid="{82FC9979-540E-4B14-A7D6-78ED9FB2C6B6}" cache="Slicer_Segment" caption="Segmen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7BF63E72-0ADF-46FC-83D5-D002B98F2009}" cache="Slicer_Region" caption="Region" rowHeight="241300"/>
  <slicer name="Category 1" xr10:uid="{302AD5A2-5044-4645-9B19-F4CA1BE88DAD}" cache="Slicer_Category" caption="Category" rowHeight="241300"/>
  <slicer name="Segment 1" xr10:uid="{FF476914-B8FA-4A33-9471-BC4DD30B516D}" cache="Slicer_Segment" caption="Segme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207755-52F5-4747-B43C-D572EE60A374}" name="Table1" displayName="Table1" ref="A1:Q1001" totalsRowShown="0">
  <autoFilter ref="A1:Q1001" xr:uid="{6B207755-52F5-4747-B43C-D572EE60A374}"/>
  <tableColumns count="17">
    <tableColumn id="1" xr3:uid="{8139199A-7FAA-48A6-8AD3-BB3CADCE9F98}" name="Order_ID"/>
    <tableColumn id="2" xr3:uid="{84F5EB31-E4A2-409F-BEFE-3A3FC9E504D5}" name="Order_Date"/>
    <tableColumn id="3" xr3:uid="{0B6F0E98-7FA6-4ACD-A521-69673CC2DB11}" name="Customer_ID"/>
    <tableColumn id="4" xr3:uid="{95AE792F-A674-448A-96F3-1BBA22147C67}" name="Product_ID"/>
    <tableColumn id="5" xr3:uid="{4533A4CC-DB7C-4CAA-8703-850384647485}" name="Region"/>
    <tableColumn id="6" xr3:uid="{7318A3CB-D089-4E46-BA15-550CFBAFC88C}" name="Sales_Rep"/>
    <tableColumn id="7" xr3:uid="{71944ECA-57E4-44B3-B014-1614C1F2D879}" name="Quantity"/>
    <tableColumn id="8" xr3:uid="{1339F706-B89F-4CB2-876C-EB2E16C3FED6}" name="Unit_Price"/>
    <tableColumn id="9" xr3:uid="{2040CAEB-4B32-4BA3-B393-9F1941423E6B}" name="Product_Name" dataDxfId="8">
      <calculatedColumnFormula>VLOOKUP(D2,Product_Master!A:D,2,FALSE)</calculatedColumnFormula>
    </tableColumn>
    <tableColumn id="10" xr3:uid="{7CFF97E9-9F20-4EDA-BE92-46F0A2EDBB87}" name="Category" dataDxfId="7">
      <calculatedColumnFormula>VLOOKUP(D2,Product_Master!A:D,3,FALSE)</calculatedColumnFormula>
    </tableColumn>
    <tableColumn id="11" xr3:uid="{40BE94B8-F024-4C40-AEE7-6349503C4F0B}" name="Cost_Price" dataDxfId="6">
      <calculatedColumnFormula>VLOOKUP(D2,Product_Master!A:D,4,FALSE)</calculatedColumnFormula>
    </tableColumn>
    <tableColumn id="12" xr3:uid="{4953DFC2-E371-4C21-AD02-2B41881ADE2F}" name="Customer_Name" dataDxfId="5">
      <calculatedColumnFormula>VLOOKUP(C2,Customer_Master!A:C,2,FALSE)</calculatedColumnFormula>
    </tableColumn>
    <tableColumn id="13" xr3:uid="{70A47A60-7A04-40B3-9851-0D75D12AA6C7}" name="Segment" dataDxfId="4">
      <calculatedColumnFormula>VLOOKUP(C2,Customer_Master!A:C,3,FALSE)</calculatedColumnFormula>
    </tableColumn>
    <tableColumn id="14" xr3:uid="{65DCD0FD-8EE4-4721-95AE-0DF00AF5D09E}" name="Total_Sales" dataDxfId="3">
      <calculatedColumnFormula>Table1[[#This Row],[Quantity]]*Table1[[#This Row],[Unit_Price]]</calculatedColumnFormula>
    </tableColumn>
    <tableColumn id="15" xr3:uid="{4787370E-F00F-472A-8DFA-A9EE32087FF8}" name="Profit" dataDxfId="2">
      <calculatedColumnFormula>(Table1[[#This Row],[Unit_Price]]-Table1[[#This Row],[Cost_Price]])*Table1[[#This Row],[Quantity]]</calculatedColumnFormula>
    </tableColumn>
    <tableColumn id="16" xr3:uid="{F9A7022C-6990-456F-8A98-59CBDF8923C8}" name="Total_Sales_Fixed" dataDxfId="1">
      <calculatedColumnFormula>VALUE(N2)</calculatedColumnFormula>
    </tableColumn>
    <tableColumn id="17" xr3:uid="{7D86368E-B5C7-459F-8039-AE0D817FA4DD}" name="Month_Year" dataDxfId="0">
      <calculatedColumnFormula>TEXT(Table1[[#This Row],[Order_Date]],"mmm-yyyy")</calculatedColumnFormula>
    </tableColumn>
  </tableColumns>
  <tableStyleInfo name="TableStyleLight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1"/>
  <sheetViews>
    <sheetView topLeftCell="L1" workbookViewId="0">
      <selection activeCell="R15" sqref="R15"/>
    </sheetView>
  </sheetViews>
  <sheetFormatPr defaultRowHeight="14.5" x14ac:dyDescent="0.35"/>
  <cols>
    <col min="1" max="1" width="10.54296875" customWidth="1"/>
    <col min="2" max="2" width="12.7265625" customWidth="1"/>
    <col min="3" max="3" width="13.81640625" customWidth="1"/>
    <col min="4" max="4" width="12.26953125" customWidth="1"/>
    <col min="6" max="6" width="11.1796875" customWidth="1"/>
    <col min="7" max="7" width="10.1796875" customWidth="1"/>
    <col min="8" max="8" width="11.453125" customWidth="1"/>
    <col min="9" max="9" width="15.54296875" customWidth="1"/>
    <col min="10" max="10" width="10.81640625" customWidth="1"/>
    <col min="11" max="11" width="12.36328125" customWidth="1"/>
    <col min="12" max="12" width="17.26953125" customWidth="1"/>
    <col min="13" max="13" width="10.90625" customWidth="1"/>
    <col min="14" max="14" width="13.36328125" customWidth="1"/>
    <col min="16" max="16" width="15.54296875" customWidth="1"/>
    <col min="17" max="17" width="13" customWidth="1"/>
  </cols>
  <sheetData>
    <row r="1" spans="1:17" x14ac:dyDescent="0.35">
      <c r="A1" t="s">
        <v>0</v>
      </c>
      <c r="B1" t="s">
        <v>1</v>
      </c>
      <c r="C1" t="s">
        <v>2</v>
      </c>
      <c r="D1" t="s">
        <v>3</v>
      </c>
      <c r="E1" t="s">
        <v>4</v>
      </c>
      <c r="F1" t="s">
        <v>5</v>
      </c>
      <c r="G1" t="s">
        <v>6</v>
      </c>
      <c r="H1" t="s">
        <v>7</v>
      </c>
      <c r="I1" t="s">
        <v>1375</v>
      </c>
      <c r="J1" t="s">
        <v>1376</v>
      </c>
      <c r="K1" t="s">
        <v>1377</v>
      </c>
      <c r="L1" t="s">
        <v>1385</v>
      </c>
      <c r="M1" t="s">
        <v>1386</v>
      </c>
      <c r="N1" t="s">
        <v>1394</v>
      </c>
      <c r="O1" t="s">
        <v>1395</v>
      </c>
      <c r="P1" t="s">
        <v>1405</v>
      </c>
      <c r="Q1" t="s">
        <v>1408</v>
      </c>
    </row>
    <row r="2" spans="1:17" x14ac:dyDescent="0.35">
      <c r="A2" t="s">
        <v>8</v>
      </c>
      <c r="B2" t="s">
        <v>9</v>
      </c>
      <c r="C2" t="s">
        <v>10</v>
      </c>
      <c r="D2" t="s">
        <v>11</v>
      </c>
      <c r="E2" t="s">
        <v>12</v>
      </c>
      <c r="F2" t="s">
        <v>13</v>
      </c>
      <c r="G2">
        <v>9</v>
      </c>
      <c r="H2">
        <v>868</v>
      </c>
      <c r="I2" t="str">
        <f>VLOOKUP(D2,Product_Master!A:D,2,FALSE)</f>
        <v>Chair</v>
      </c>
      <c r="J2" t="str">
        <f>VLOOKUP(D2,Product_Master!A:D,3,FALSE)</f>
        <v>Furniture</v>
      </c>
      <c r="K2">
        <f>VLOOKUP(D2,Product_Master!A:D,4,FALSE)</f>
        <v>150</v>
      </c>
      <c r="L2" t="str">
        <f>VLOOKUP(C2,Customer_Master!A:C,2,FALSE)</f>
        <v>Suresh</v>
      </c>
      <c r="M2" t="str">
        <f>VLOOKUP(C2,Customer_Master!A:C,3,FALSE)</f>
        <v>Consumer</v>
      </c>
      <c r="O2">
        <f>(Table1[[#This Row],[Unit_Price]]-Table1[[#This Row],[Cost_Price]])*Table1[[#This Row],[Quantity]]</f>
        <v>6462</v>
      </c>
      <c r="P2">
        <f t="shared" ref="P2:P65" si="0">VALUE(N2)</f>
        <v>0</v>
      </c>
      <c r="Q2" t="str">
        <f>TEXT(Table1[[#This Row],[Order_Date]],"mmm-yyyy")</f>
        <v>Jan-2024</v>
      </c>
    </row>
    <row r="3" spans="1:17" x14ac:dyDescent="0.35">
      <c r="A3" t="s">
        <v>14</v>
      </c>
      <c r="B3" t="s">
        <v>15</v>
      </c>
      <c r="C3" t="s">
        <v>10</v>
      </c>
      <c r="D3" t="s">
        <v>16</v>
      </c>
      <c r="E3" t="s">
        <v>17</v>
      </c>
      <c r="F3" t="s">
        <v>18</v>
      </c>
      <c r="G3">
        <v>5</v>
      </c>
      <c r="H3">
        <v>1754</v>
      </c>
      <c r="I3" t="str">
        <f>VLOOKUP(D3,Product_Master!A:D,2,FALSE)</f>
        <v>Printer</v>
      </c>
      <c r="J3" t="str">
        <f>VLOOKUP(D3,Product_Master!A:D,3,FALSE)</f>
        <v>Electronics</v>
      </c>
      <c r="K3">
        <f>VLOOKUP(D3,Product_Master!A:D,4,FALSE)</f>
        <v>1100</v>
      </c>
      <c r="L3" t="str">
        <f>VLOOKUP(C3,Customer_Master!A:C,2,FALSE)</f>
        <v>Suresh</v>
      </c>
      <c r="M3" t="str">
        <f>VLOOKUP(C3,Customer_Master!A:C,3,FALSE)</f>
        <v>Consumer</v>
      </c>
      <c r="N3">
        <f>Table1[[#This Row],[Quantity]]*Table1[[#This Row],[Unit_Price]]</f>
        <v>8770</v>
      </c>
      <c r="O3">
        <f>(Table1[[#This Row],[Unit_Price]]-Table1[[#This Row],[Cost_Price]])*Table1[[#This Row],[Quantity]]</f>
        <v>3270</v>
      </c>
      <c r="P3">
        <f t="shared" si="0"/>
        <v>8770</v>
      </c>
      <c r="Q3" t="str">
        <f>TEXT(Table1[[#This Row],[Order_Date]],"mmm-yyyy")</f>
        <v>Sep-2024</v>
      </c>
    </row>
    <row r="4" spans="1:17" x14ac:dyDescent="0.35">
      <c r="A4" t="s">
        <v>19</v>
      </c>
      <c r="B4" t="s">
        <v>20</v>
      </c>
      <c r="C4" t="s">
        <v>21</v>
      </c>
      <c r="D4" t="s">
        <v>22</v>
      </c>
      <c r="E4" t="s">
        <v>12</v>
      </c>
      <c r="F4" t="s">
        <v>23</v>
      </c>
      <c r="G4">
        <v>9</v>
      </c>
      <c r="H4">
        <v>1110</v>
      </c>
      <c r="I4" t="str">
        <f>VLOOKUP(D4,Product_Master!A:D,2,FALSE)</f>
        <v>Desk</v>
      </c>
      <c r="J4" t="str">
        <f>VLOOKUP(D4,Product_Master!A:D,3,FALSE)</f>
        <v>Furniture</v>
      </c>
      <c r="K4">
        <f>VLOOKUP(D4,Product_Master!A:D,4,FALSE)</f>
        <v>300</v>
      </c>
      <c r="L4" t="str">
        <f>VLOOKUP(C4,Customer_Master!A:C,2,FALSE)</f>
        <v>Reliance</v>
      </c>
      <c r="M4" t="str">
        <f>VLOOKUP(C4,Customer_Master!A:C,3,FALSE)</f>
        <v>Corporate</v>
      </c>
      <c r="N4">
        <f>Table1[[#This Row],[Quantity]]*Table1[[#This Row],[Unit_Price]]</f>
        <v>9990</v>
      </c>
      <c r="O4">
        <f>(Table1[[#This Row],[Unit_Price]]-Table1[[#This Row],[Cost_Price]])*Table1[[#This Row],[Quantity]]</f>
        <v>7290</v>
      </c>
      <c r="P4">
        <f t="shared" si="0"/>
        <v>9990</v>
      </c>
      <c r="Q4" t="str">
        <f>TEXT(Table1[[#This Row],[Order_Date]],"mmm-yyyy")</f>
        <v>Apr-2024</v>
      </c>
    </row>
    <row r="5" spans="1:17" x14ac:dyDescent="0.35">
      <c r="A5" t="s">
        <v>24</v>
      </c>
      <c r="B5" t="s">
        <v>25</v>
      </c>
      <c r="C5" t="s">
        <v>10</v>
      </c>
      <c r="D5" t="s">
        <v>26</v>
      </c>
      <c r="E5" t="s">
        <v>27</v>
      </c>
      <c r="F5" t="s">
        <v>23</v>
      </c>
      <c r="G5">
        <v>1</v>
      </c>
      <c r="H5">
        <v>1049</v>
      </c>
      <c r="I5" t="str">
        <f>VLOOKUP(D5,Product_Master!A:D,2,FALSE)</f>
        <v>Laptop</v>
      </c>
      <c r="J5" t="str">
        <f>VLOOKUP(D5,Product_Master!A:D,3,FALSE)</f>
        <v>Electronics</v>
      </c>
      <c r="K5">
        <f>VLOOKUP(D5,Product_Master!A:D,4,FALSE)</f>
        <v>900</v>
      </c>
      <c r="L5" t="str">
        <f>VLOOKUP(C5,Customer_Master!A:C,2,FALSE)</f>
        <v>Suresh</v>
      </c>
      <c r="M5" t="str">
        <f>VLOOKUP(C5,Customer_Master!A:C,3,FALSE)</f>
        <v>Consumer</v>
      </c>
      <c r="N5">
        <f>Table1[[#This Row],[Quantity]]*Table1[[#This Row],[Unit_Price]]</f>
        <v>1049</v>
      </c>
      <c r="O5">
        <f>(Table1[[#This Row],[Unit_Price]]-Table1[[#This Row],[Cost_Price]])*Table1[[#This Row],[Quantity]]</f>
        <v>149</v>
      </c>
      <c r="P5">
        <f t="shared" si="0"/>
        <v>1049</v>
      </c>
      <c r="Q5" t="str">
        <f>TEXT(Table1[[#This Row],[Order_Date]],"mmm-yyyy")</f>
        <v>Oct-2024</v>
      </c>
    </row>
    <row r="6" spans="1:17" x14ac:dyDescent="0.35">
      <c r="A6" t="s">
        <v>28</v>
      </c>
      <c r="B6" t="s">
        <v>29</v>
      </c>
      <c r="C6" t="s">
        <v>30</v>
      </c>
      <c r="D6" t="s">
        <v>22</v>
      </c>
      <c r="E6" t="s">
        <v>17</v>
      </c>
      <c r="F6" t="s">
        <v>23</v>
      </c>
      <c r="G6">
        <v>5</v>
      </c>
      <c r="H6">
        <v>1570</v>
      </c>
      <c r="I6" t="str">
        <f>VLOOKUP(D6,Product_Master!A:D,2,FALSE)</f>
        <v>Desk</v>
      </c>
      <c r="J6" t="str">
        <f>VLOOKUP(D6,Product_Master!A:D,3,FALSE)</f>
        <v>Furniture</v>
      </c>
      <c r="K6">
        <f>VLOOKUP(D6,Product_Master!A:D,4,FALSE)</f>
        <v>300</v>
      </c>
      <c r="L6" t="str">
        <f>VLOOKUP(C6,Customer_Master!A:C,2,FALSE)</f>
        <v>Infosys</v>
      </c>
      <c r="M6" t="str">
        <f>VLOOKUP(C6,Customer_Master!A:C,3,FALSE)</f>
        <v>Corporate</v>
      </c>
      <c r="N6">
        <f>Table1[[#This Row],[Quantity]]*Table1[[#This Row],[Unit_Price]]</f>
        <v>7850</v>
      </c>
      <c r="O6">
        <f>(Table1[[#This Row],[Unit_Price]]-Table1[[#This Row],[Cost_Price]])*Table1[[#This Row],[Quantity]]</f>
        <v>6350</v>
      </c>
      <c r="P6">
        <f t="shared" si="0"/>
        <v>7850</v>
      </c>
      <c r="Q6" t="str">
        <f>TEXT(Table1[[#This Row],[Order_Date]],"mmm-yyyy")</f>
        <v>Nov-2024</v>
      </c>
    </row>
    <row r="7" spans="1:17" x14ac:dyDescent="0.35">
      <c r="A7" t="s">
        <v>31</v>
      </c>
      <c r="B7" t="s">
        <v>32</v>
      </c>
      <c r="C7" t="s">
        <v>30</v>
      </c>
      <c r="D7" t="s">
        <v>22</v>
      </c>
      <c r="E7" t="s">
        <v>33</v>
      </c>
      <c r="F7" t="s">
        <v>34</v>
      </c>
      <c r="G7">
        <v>2</v>
      </c>
      <c r="H7">
        <v>1629</v>
      </c>
      <c r="I7" t="str">
        <f>VLOOKUP(D7,Product_Master!A:D,2,FALSE)</f>
        <v>Desk</v>
      </c>
      <c r="J7" t="str">
        <f>VLOOKUP(D7,Product_Master!A:D,3,FALSE)</f>
        <v>Furniture</v>
      </c>
      <c r="K7">
        <f>VLOOKUP(D7,Product_Master!A:D,4,FALSE)</f>
        <v>300</v>
      </c>
      <c r="L7" t="str">
        <f>VLOOKUP(C7,Customer_Master!A:C,2,FALSE)</f>
        <v>Infosys</v>
      </c>
      <c r="M7" t="str">
        <f>VLOOKUP(C7,Customer_Master!A:C,3,FALSE)</f>
        <v>Corporate</v>
      </c>
      <c r="N7">
        <f>Table1[[#This Row],[Quantity]]*Table1[[#This Row],[Unit_Price]]</f>
        <v>3258</v>
      </c>
      <c r="O7">
        <f>(Table1[[#This Row],[Unit_Price]]-Table1[[#This Row],[Cost_Price]])*Table1[[#This Row],[Quantity]]</f>
        <v>2658</v>
      </c>
      <c r="P7">
        <f t="shared" si="0"/>
        <v>3258</v>
      </c>
      <c r="Q7" t="str">
        <f>TEXT(Table1[[#This Row],[Order_Date]],"mmm-yyyy")</f>
        <v>Nov-2024</v>
      </c>
    </row>
    <row r="8" spans="1:17" x14ac:dyDescent="0.35">
      <c r="A8" t="s">
        <v>35</v>
      </c>
      <c r="B8" t="s">
        <v>36</v>
      </c>
      <c r="C8" t="s">
        <v>30</v>
      </c>
      <c r="D8" t="s">
        <v>37</v>
      </c>
      <c r="E8" t="s">
        <v>17</v>
      </c>
      <c r="F8" t="s">
        <v>13</v>
      </c>
      <c r="G8">
        <v>6</v>
      </c>
      <c r="H8">
        <v>1972</v>
      </c>
      <c r="I8" t="str">
        <f>VLOOKUP(D8,Product_Master!A:D,2,FALSE)</f>
        <v>Mobile</v>
      </c>
      <c r="J8" t="str">
        <f>VLOOKUP(D8,Product_Master!A:D,3,FALSE)</f>
        <v>Electronics</v>
      </c>
      <c r="K8">
        <f>VLOOKUP(D8,Product_Master!A:D,4,FALSE)</f>
        <v>600</v>
      </c>
      <c r="L8" t="str">
        <f>VLOOKUP(C8,Customer_Master!A:C,2,FALSE)</f>
        <v>Infosys</v>
      </c>
      <c r="M8" t="str">
        <f>VLOOKUP(C8,Customer_Master!A:C,3,FALSE)</f>
        <v>Corporate</v>
      </c>
      <c r="N8">
        <f>Table1[[#This Row],[Quantity]]*Table1[[#This Row],[Unit_Price]]</f>
        <v>11832</v>
      </c>
      <c r="O8">
        <f>(Table1[[#This Row],[Unit_Price]]-Table1[[#This Row],[Cost_Price]])*Table1[[#This Row],[Quantity]]</f>
        <v>8232</v>
      </c>
      <c r="P8">
        <f t="shared" si="0"/>
        <v>11832</v>
      </c>
      <c r="Q8" t="str">
        <f>TEXT(Table1[[#This Row],[Order_Date]],"mmm-yyyy")</f>
        <v>Nov-2024</v>
      </c>
    </row>
    <row r="9" spans="1:17" x14ac:dyDescent="0.35">
      <c r="A9" t="s">
        <v>38</v>
      </c>
      <c r="B9" t="s">
        <v>39</v>
      </c>
      <c r="C9" t="s">
        <v>30</v>
      </c>
      <c r="D9" t="s">
        <v>26</v>
      </c>
      <c r="E9" t="s">
        <v>12</v>
      </c>
      <c r="F9" t="s">
        <v>23</v>
      </c>
      <c r="G9">
        <v>3</v>
      </c>
      <c r="H9">
        <v>943</v>
      </c>
      <c r="I9" t="str">
        <f>VLOOKUP(D9,Product_Master!A:D,2,FALSE)</f>
        <v>Laptop</v>
      </c>
      <c r="J9" t="str">
        <f>VLOOKUP(D9,Product_Master!A:D,3,FALSE)</f>
        <v>Electronics</v>
      </c>
      <c r="K9">
        <f>VLOOKUP(D9,Product_Master!A:D,4,FALSE)</f>
        <v>900</v>
      </c>
      <c r="L9" t="str">
        <f>VLOOKUP(C9,Customer_Master!A:C,2,FALSE)</f>
        <v>Infosys</v>
      </c>
      <c r="M9" t="str">
        <f>VLOOKUP(C9,Customer_Master!A:C,3,FALSE)</f>
        <v>Corporate</v>
      </c>
      <c r="N9">
        <f>Table1[[#This Row],[Quantity]]*Table1[[#This Row],[Unit_Price]]</f>
        <v>2829</v>
      </c>
      <c r="O9">
        <f>(Table1[[#This Row],[Unit_Price]]-Table1[[#This Row],[Cost_Price]])*Table1[[#This Row],[Quantity]]</f>
        <v>129</v>
      </c>
      <c r="P9">
        <f t="shared" si="0"/>
        <v>2829</v>
      </c>
      <c r="Q9" t="str">
        <f>TEXT(Table1[[#This Row],[Order_Date]],"mmm-yyyy")</f>
        <v>May-2024</v>
      </c>
    </row>
    <row r="10" spans="1:17" x14ac:dyDescent="0.35">
      <c r="A10" t="s">
        <v>40</v>
      </c>
      <c r="B10" t="s">
        <v>41</v>
      </c>
      <c r="C10" t="s">
        <v>42</v>
      </c>
      <c r="D10" t="s">
        <v>22</v>
      </c>
      <c r="E10" t="s">
        <v>12</v>
      </c>
      <c r="F10" t="s">
        <v>13</v>
      </c>
      <c r="G10">
        <v>5</v>
      </c>
      <c r="H10">
        <v>1680</v>
      </c>
      <c r="I10" t="str">
        <f>VLOOKUP(D10,Product_Master!A:D,2,FALSE)</f>
        <v>Desk</v>
      </c>
      <c r="J10" t="str">
        <f>VLOOKUP(D10,Product_Master!A:D,3,FALSE)</f>
        <v>Furniture</v>
      </c>
      <c r="K10">
        <f>VLOOKUP(D10,Product_Master!A:D,4,FALSE)</f>
        <v>300</v>
      </c>
      <c r="L10" t="str">
        <f>VLOOKUP(C10,Customer_Master!A:C,2,FALSE)</f>
        <v>Ramesh</v>
      </c>
      <c r="M10" t="str">
        <f>VLOOKUP(C10,Customer_Master!A:C,3,FALSE)</f>
        <v>Consumer</v>
      </c>
      <c r="N10">
        <f>Table1[[#This Row],[Quantity]]*Table1[[#This Row],[Unit_Price]]</f>
        <v>8400</v>
      </c>
      <c r="O10">
        <f>(Table1[[#This Row],[Unit_Price]]-Table1[[#This Row],[Cost_Price]])*Table1[[#This Row],[Quantity]]</f>
        <v>6900</v>
      </c>
      <c r="P10">
        <f t="shared" si="0"/>
        <v>8400</v>
      </c>
      <c r="Q10" t="str">
        <f>TEXT(Table1[[#This Row],[Order_Date]],"mmm-yyyy")</f>
        <v>Apr-2024</v>
      </c>
    </row>
    <row r="11" spans="1:17" x14ac:dyDescent="0.35">
      <c r="A11" t="s">
        <v>43</v>
      </c>
      <c r="B11" t="s">
        <v>44</v>
      </c>
      <c r="C11" t="s">
        <v>45</v>
      </c>
      <c r="D11" t="s">
        <v>16</v>
      </c>
      <c r="E11" t="s">
        <v>17</v>
      </c>
      <c r="F11" t="s">
        <v>13</v>
      </c>
      <c r="G11">
        <v>1</v>
      </c>
      <c r="H11">
        <v>1046</v>
      </c>
      <c r="I11" t="str">
        <f>VLOOKUP(D11,Product_Master!A:D,2,FALSE)</f>
        <v>Printer</v>
      </c>
      <c r="J11" t="str">
        <f>VLOOKUP(D11,Product_Master!A:D,3,FALSE)</f>
        <v>Electronics</v>
      </c>
      <c r="K11">
        <f>VLOOKUP(D11,Product_Master!A:D,4,FALSE)</f>
        <v>1100</v>
      </c>
      <c r="L11" t="str">
        <f>VLOOKUP(C11,Customer_Master!A:C,2,FALSE)</f>
        <v>TCS</v>
      </c>
      <c r="M11" t="str">
        <f>VLOOKUP(C11,Customer_Master!A:C,3,FALSE)</f>
        <v>Corporate</v>
      </c>
      <c r="N11">
        <f>Table1[[#This Row],[Quantity]]*Table1[[#This Row],[Unit_Price]]</f>
        <v>1046</v>
      </c>
      <c r="O11">
        <f>(Table1[[#This Row],[Unit_Price]]-Table1[[#This Row],[Cost_Price]])*Table1[[#This Row],[Quantity]]</f>
        <v>-54</v>
      </c>
      <c r="P11">
        <f t="shared" si="0"/>
        <v>1046</v>
      </c>
      <c r="Q11" t="str">
        <f>TEXT(Table1[[#This Row],[Order_Date]],"mmm-yyyy")</f>
        <v>Sep-2024</v>
      </c>
    </row>
    <row r="12" spans="1:17" x14ac:dyDescent="0.35">
      <c r="A12" t="s">
        <v>46</v>
      </c>
      <c r="B12" t="s">
        <v>47</v>
      </c>
      <c r="C12" t="s">
        <v>45</v>
      </c>
      <c r="D12" t="s">
        <v>11</v>
      </c>
      <c r="E12" t="s">
        <v>17</v>
      </c>
      <c r="F12" t="s">
        <v>23</v>
      </c>
      <c r="G12">
        <v>7</v>
      </c>
      <c r="H12">
        <v>990</v>
      </c>
      <c r="I12" t="str">
        <f>VLOOKUP(D12,Product_Master!A:D,2,FALSE)</f>
        <v>Chair</v>
      </c>
      <c r="J12" t="str">
        <f>VLOOKUP(D12,Product_Master!A:D,3,FALSE)</f>
        <v>Furniture</v>
      </c>
      <c r="K12">
        <f>VLOOKUP(D12,Product_Master!A:D,4,FALSE)</f>
        <v>150</v>
      </c>
      <c r="L12" t="str">
        <f>VLOOKUP(C12,Customer_Master!A:C,2,FALSE)</f>
        <v>TCS</v>
      </c>
      <c r="M12" t="str">
        <f>VLOOKUP(C12,Customer_Master!A:C,3,FALSE)</f>
        <v>Corporate</v>
      </c>
      <c r="N12">
        <f>Table1[[#This Row],[Quantity]]*Table1[[#This Row],[Unit_Price]]</f>
        <v>6930</v>
      </c>
      <c r="O12">
        <f>(Table1[[#This Row],[Unit_Price]]-Table1[[#This Row],[Cost_Price]])*Table1[[#This Row],[Quantity]]</f>
        <v>5880</v>
      </c>
      <c r="P12">
        <f t="shared" si="0"/>
        <v>6930</v>
      </c>
      <c r="Q12" t="str">
        <f>TEXT(Table1[[#This Row],[Order_Date]],"mmm-yyyy")</f>
        <v>Dec-2024</v>
      </c>
    </row>
    <row r="13" spans="1:17" x14ac:dyDescent="0.35">
      <c r="A13" t="s">
        <v>48</v>
      </c>
      <c r="B13" t="s">
        <v>49</v>
      </c>
      <c r="C13" t="s">
        <v>45</v>
      </c>
      <c r="D13" t="s">
        <v>22</v>
      </c>
      <c r="E13" t="s">
        <v>27</v>
      </c>
      <c r="F13" t="s">
        <v>18</v>
      </c>
      <c r="G13">
        <v>8</v>
      </c>
      <c r="H13">
        <v>1039</v>
      </c>
      <c r="I13" t="str">
        <f>VLOOKUP(D13,Product_Master!A:D,2,FALSE)</f>
        <v>Desk</v>
      </c>
      <c r="J13" t="str">
        <f>VLOOKUP(D13,Product_Master!A:D,3,FALSE)</f>
        <v>Furniture</v>
      </c>
      <c r="K13">
        <f>VLOOKUP(D13,Product_Master!A:D,4,FALSE)</f>
        <v>300</v>
      </c>
      <c r="L13" t="str">
        <f>VLOOKUP(C13,Customer_Master!A:C,2,FALSE)</f>
        <v>TCS</v>
      </c>
      <c r="M13" t="str">
        <f>VLOOKUP(C13,Customer_Master!A:C,3,FALSE)</f>
        <v>Corporate</v>
      </c>
      <c r="N13">
        <f>Table1[[#This Row],[Quantity]]*Table1[[#This Row],[Unit_Price]]</f>
        <v>8312</v>
      </c>
      <c r="O13">
        <f>(Table1[[#This Row],[Unit_Price]]-Table1[[#This Row],[Cost_Price]])*Table1[[#This Row],[Quantity]]</f>
        <v>5912</v>
      </c>
      <c r="P13">
        <f t="shared" si="0"/>
        <v>8312</v>
      </c>
      <c r="Q13" t="str">
        <f>TEXT(Table1[[#This Row],[Order_Date]],"mmm-yyyy")</f>
        <v>Oct-2024</v>
      </c>
    </row>
    <row r="14" spans="1:17" x14ac:dyDescent="0.35">
      <c r="A14" t="s">
        <v>50</v>
      </c>
      <c r="B14" t="s">
        <v>51</v>
      </c>
      <c r="C14" t="s">
        <v>21</v>
      </c>
      <c r="D14" t="s">
        <v>22</v>
      </c>
      <c r="E14" t="s">
        <v>33</v>
      </c>
      <c r="F14" t="s">
        <v>18</v>
      </c>
      <c r="G14">
        <v>3</v>
      </c>
      <c r="H14">
        <v>1492</v>
      </c>
      <c r="I14" t="str">
        <f>VLOOKUP(D14,Product_Master!A:D,2,FALSE)</f>
        <v>Desk</v>
      </c>
      <c r="J14" t="str">
        <f>VLOOKUP(D14,Product_Master!A:D,3,FALSE)</f>
        <v>Furniture</v>
      </c>
      <c r="K14">
        <f>VLOOKUP(D14,Product_Master!A:D,4,FALSE)</f>
        <v>300</v>
      </c>
      <c r="L14" t="str">
        <f>VLOOKUP(C14,Customer_Master!A:C,2,FALSE)</f>
        <v>Reliance</v>
      </c>
      <c r="M14" t="str">
        <f>VLOOKUP(C14,Customer_Master!A:C,3,FALSE)</f>
        <v>Corporate</v>
      </c>
      <c r="N14">
        <f>Table1[[#This Row],[Quantity]]*Table1[[#This Row],[Unit_Price]]</f>
        <v>4476</v>
      </c>
      <c r="O14">
        <f>(Table1[[#This Row],[Unit_Price]]-Table1[[#This Row],[Cost_Price]])*Table1[[#This Row],[Quantity]]</f>
        <v>3576</v>
      </c>
      <c r="P14">
        <f t="shared" si="0"/>
        <v>4476</v>
      </c>
      <c r="Q14" t="str">
        <f>TEXT(Table1[[#This Row],[Order_Date]],"mmm-yyyy")</f>
        <v>Aug-2024</v>
      </c>
    </row>
    <row r="15" spans="1:17" x14ac:dyDescent="0.35">
      <c r="A15" t="s">
        <v>52</v>
      </c>
      <c r="B15" t="s">
        <v>53</v>
      </c>
      <c r="C15" t="s">
        <v>21</v>
      </c>
      <c r="D15" t="s">
        <v>37</v>
      </c>
      <c r="E15" t="s">
        <v>27</v>
      </c>
      <c r="F15" t="s">
        <v>13</v>
      </c>
      <c r="G15">
        <v>8</v>
      </c>
      <c r="H15">
        <v>854</v>
      </c>
      <c r="I15" t="str">
        <f>VLOOKUP(D15,Product_Master!A:D,2,FALSE)</f>
        <v>Mobile</v>
      </c>
      <c r="J15" t="str">
        <f>VLOOKUP(D15,Product_Master!A:D,3,FALSE)</f>
        <v>Electronics</v>
      </c>
      <c r="K15">
        <f>VLOOKUP(D15,Product_Master!A:D,4,FALSE)</f>
        <v>600</v>
      </c>
      <c r="L15" t="str">
        <f>VLOOKUP(C15,Customer_Master!A:C,2,FALSE)</f>
        <v>Reliance</v>
      </c>
      <c r="M15" t="str">
        <f>VLOOKUP(C15,Customer_Master!A:C,3,FALSE)</f>
        <v>Corporate</v>
      </c>
      <c r="N15">
        <f>Table1[[#This Row],[Quantity]]*Table1[[#This Row],[Unit_Price]]</f>
        <v>6832</v>
      </c>
      <c r="O15">
        <f>(Table1[[#This Row],[Unit_Price]]-Table1[[#This Row],[Cost_Price]])*Table1[[#This Row],[Quantity]]</f>
        <v>2032</v>
      </c>
      <c r="P15">
        <f t="shared" si="0"/>
        <v>6832</v>
      </c>
      <c r="Q15" t="str">
        <f>TEXT(Table1[[#This Row],[Order_Date]],"mmm-yyyy")</f>
        <v>Jul-2024</v>
      </c>
    </row>
    <row r="16" spans="1:17" x14ac:dyDescent="0.35">
      <c r="A16" t="s">
        <v>54</v>
      </c>
      <c r="B16" t="s">
        <v>55</v>
      </c>
      <c r="C16" t="s">
        <v>30</v>
      </c>
      <c r="D16" t="s">
        <v>22</v>
      </c>
      <c r="E16" t="s">
        <v>27</v>
      </c>
      <c r="F16" t="s">
        <v>13</v>
      </c>
      <c r="G16">
        <v>7</v>
      </c>
      <c r="H16">
        <v>1417</v>
      </c>
      <c r="I16" t="str">
        <f>VLOOKUP(D16,Product_Master!A:D,2,FALSE)</f>
        <v>Desk</v>
      </c>
      <c r="J16" t="str">
        <f>VLOOKUP(D16,Product_Master!A:D,3,FALSE)</f>
        <v>Furniture</v>
      </c>
      <c r="K16">
        <f>VLOOKUP(D16,Product_Master!A:D,4,FALSE)</f>
        <v>300</v>
      </c>
      <c r="L16" t="str">
        <f>VLOOKUP(C16,Customer_Master!A:C,2,FALSE)</f>
        <v>Infosys</v>
      </c>
      <c r="M16" t="str">
        <f>VLOOKUP(C16,Customer_Master!A:C,3,FALSE)</f>
        <v>Corporate</v>
      </c>
      <c r="N16">
        <f>Table1[[#This Row],[Quantity]]*Table1[[#This Row],[Unit_Price]]</f>
        <v>9919</v>
      </c>
      <c r="O16">
        <f>(Table1[[#This Row],[Unit_Price]]-Table1[[#This Row],[Cost_Price]])*Table1[[#This Row],[Quantity]]</f>
        <v>7819</v>
      </c>
      <c r="P16">
        <f t="shared" si="0"/>
        <v>9919</v>
      </c>
      <c r="Q16" t="str">
        <f>TEXT(Table1[[#This Row],[Order_Date]],"mmm-yyyy")</f>
        <v>Feb-2024</v>
      </c>
    </row>
    <row r="17" spans="1:17" x14ac:dyDescent="0.35">
      <c r="A17" t="s">
        <v>56</v>
      </c>
      <c r="B17" t="s">
        <v>57</v>
      </c>
      <c r="C17" t="s">
        <v>30</v>
      </c>
      <c r="D17" t="s">
        <v>37</v>
      </c>
      <c r="E17" t="s">
        <v>17</v>
      </c>
      <c r="F17" t="s">
        <v>13</v>
      </c>
      <c r="G17">
        <v>2</v>
      </c>
      <c r="H17">
        <v>1030</v>
      </c>
      <c r="I17" t="str">
        <f>VLOOKUP(D17,Product_Master!A:D,2,FALSE)</f>
        <v>Mobile</v>
      </c>
      <c r="J17" t="str">
        <f>VLOOKUP(D17,Product_Master!A:D,3,FALSE)</f>
        <v>Electronics</v>
      </c>
      <c r="K17">
        <f>VLOOKUP(D17,Product_Master!A:D,4,FALSE)</f>
        <v>600</v>
      </c>
      <c r="L17" t="str">
        <f>VLOOKUP(C17,Customer_Master!A:C,2,FALSE)</f>
        <v>Infosys</v>
      </c>
      <c r="M17" t="str">
        <f>VLOOKUP(C17,Customer_Master!A:C,3,FALSE)</f>
        <v>Corporate</v>
      </c>
      <c r="N17">
        <f>Table1[[#This Row],[Quantity]]*Table1[[#This Row],[Unit_Price]]</f>
        <v>2060</v>
      </c>
      <c r="O17">
        <f>(Table1[[#This Row],[Unit_Price]]-Table1[[#This Row],[Cost_Price]])*Table1[[#This Row],[Quantity]]</f>
        <v>860</v>
      </c>
      <c r="P17">
        <f t="shared" si="0"/>
        <v>2060</v>
      </c>
      <c r="Q17" t="str">
        <f>TEXT(Table1[[#This Row],[Order_Date]],"mmm-yyyy")</f>
        <v>May-2024</v>
      </c>
    </row>
    <row r="18" spans="1:17" x14ac:dyDescent="0.35">
      <c r="A18" t="s">
        <v>58</v>
      </c>
      <c r="B18" t="s">
        <v>44</v>
      </c>
      <c r="C18" t="s">
        <v>30</v>
      </c>
      <c r="D18" t="s">
        <v>11</v>
      </c>
      <c r="E18" t="s">
        <v>33</v>
      </c>
      <c r="F18" t="s">
        <v>13</v>
      </c>
      <c r="G18">
        <v>5</v>
      </c>
      <c r="H18">
        <v>1044</v>
      </c>
      <c r="I18" t="str">
        <f>VLOOKUP(D18,Product_Master!A:D,2,FALSE)</f>
        <v>Chair</v>
      </c>
      <c r="J18" t="str">
        <f>VLOOKUP(D18,Product_Master!A:D,3,FALSE)</f>
        <v>Furniture</v>
      </c>
      <c r="K18">
        <f>VLOOKUP(D18,Product_Master!A:D,4,FALSE)</f>
        <v>150</v>
      </c>
      <c r="L18" t="str">
        <f>VLOOKUP(C18,Customer_Master!A:C,2,FALSE)</f>
        <v>Infosys</v>
      </c>
      <c r="M18" t="str">
        <f>VLOOKUP(C18,Customer_Master!A:C,3,FALSE)</f>
        <v>Corporate</v>
      </c>
      <c r="N18">
        <f>Table1[[#This Row],[Quantity]]*Table1[[#This Row],[Unit_Price]]</f>
        <v>5220</v>
      </c>
      <c r="O18">
        <f>(Table1[[#This Row],[Unit_Price]]-Table1[[#This Row],[Cost_Price]])*Table1[[#This Row],[Quantity]]</f>
        <v>4470</v>
      </c>
      <c r="P18">
        <f t="shared" si="0"/>
        <v>5220</v>
      </c>
      <c r="Q18" t="str">
        <f>TEXT(Table1[[#This Row],[Order_Date]],"mmm-yyyy")</f>
        <v>Sep-2024</v>
      </c>
    </row>
    <row r="19" spans="1:17" x14ac:dyDescent="0.35">
      <c r="A19" t="s">
        <v>59</v>
      </c>
      <c r="B19" t="s">
        <v>60</v>
      </c>
      <c r="C19" t="s">
        <v>42</v>
      </c>
      <c r="D19" t="s">
        <v>11</v>
      </c>
      <c r="E19" t="s">
        <v>27</v>
      </c>
      <c r="F19" t="s">
        <v>18</v>
      </c>
      <c r="G19">
        <v>1</v>
      </c>
      <c r="H19">
        <v>1774</v>
      </c>
      <c r="I19" t="str">
        <f>VLOOKUP(D19,Product_Master!A:D,2,FALSE)</f>
        <v>Chair</v>
      </c>
      <c r="J19" t="str">
        <f>VLOOKUP(D19,Product_Master!A:D,3,FALSE)</f>
        <v>Furniture</v>
      </c>
      <c r="K19">
        <f>VLOOKUP(D19,Product_Master!A:D,4,FALSE)</f>
        <v>150</v>
      </c>
      <c r="L19" t="str">
        <f>VLOOKUP(C19,Customer_Master!A:C,2,FALSE)</f>
        <v>Ramesh</v>
      </c>
      <c r="M19" t="str">
        <f>VLOOKUP(C19,Customer_Master!A:C,3,FALSE)</f>
        <v>Consumer</v>
      </c>
      <c r="N19">
        <f>Table1[[#This Row],[Quantity]]*Table1[[#This Row],[Unit_Price]]</f>
        <v>1774</v>
      </c>
      <c r="O19">
        <f>(Table1[[#This Row],[Unit_Price]]-Table1[[#This Row],[Cost_Price]])*Table1[[#This Row],[Quantity]]</f>
        <v>1624</v>
      </c>
      <c r="P19">
        <f t="shared" si="0"/>
        <v>1774</v>
      </c>
      <c r="Q19" t="str">
        <f>TEXT(Table1[[#This Row],[Order_Date]],"mmm-yyyy")</f>
        <v>Aug-2024</v>
      </c>
    </row>
    <row r="20" spans="1:17" x14ac:dyDescent="0.35">
      <c r="A20" t="s">
        <v>61</v>
      </c>
      <c r="B20" t="s">
        <v>62</v>
      </c>
      <c r="C20" t="s">
        <v>10</v>
      </c>
      <c r="D20" t="s">
        <v>11</v>
      </c>
      <c r="E20" t="s">
        <v>12</v>
      </c>
      <c r="F20" t="s">
        <v>23</v>
      </c>
      <c r="G20">
        <v>2</v>
      </c>
      <c r="H20">
        <v>1756</v>
      </c>
      <c r="I20" t="str">
        <f>VLOOKUP(D20,Product_Master!A:D,2,FALSE)</f>
        <v>Chair</v>
      </c>
      <c r="J20" t="str">
        <f>VLOOKUP(D20,Product_Master!A:D,3,FALSE)</f>
        <v>Furniture</v>
      </c>
      <c r="K20">
        <f>VLOOKUP(D20,Product_Master!A:D,4,FALSE)</f>
        <v>150</v>
      </c>
      <c r="L20" t="str">
        <f>VLOOKUP(C20,Customer_Master!A:C,2,FALSE)</f>
        <v>Suresh</v>
      </c>
      <c r="M20" t="str">
        <f>VLOOKUP(C20,Customer_Master!A:C,3,FALSE)</f>
        <v>Consumer</v>
      </c>
      <c r="N20">
        <f>Table1[[#This Row],[Quantity]]*Table1[[#This Row],[Unit_Price]]</f>
        <v>3512</v>
      </c>
      <c r="O20">
        <f>(Table1[[#This Row],[Unit_Price]]-Table1[[#This Row],[Cost_Price]])*Table1[[#This Row],[Quantity]]</f>
        <v>3212</v>
      </c>
      <c r="P20">
        <f t="shared" si="0"/>
        <v>3512</v>
      </c>
      <c r="Q20" t="str">
        <f>TEXT(Table1[[#This Row],[Order_Date]],"mmm-yyyy")</f>
        <v>Jan-2024</v>
      </c>
    </row>
    <row r="21" spans="1:17" x14ac:dyDescent="0.35">
      <c r="A21" t="s">
        <v>63</v>
      </c>
      <c r="B21" t="s">
        <v>64</v>
      </c>
      <c r="C21" t="s">
        <v>45</v>
      </c>
      <c r="D21" t="s">
        <v>11</v>
      </c>
      <c r="E21" t="s">
        <v>27</v>
      </c>
      <c r="F21" t="s">
        <v>13</v>
      </c>
      <c r="G21">
        <v>5</v>
      </c>
      <c r="H21">
        <v>835</v>
      </c>
      <c r="I21" t="str">
        <f>VLOOKUP(D21,Product_Master!A:D,2,FALSE)</f>
        <v>Chair</v>
      </c>
      <c r="J21" t="str">
        <f>VLOOKUP(D21,Product_Master!A:D,3,FALSE)</f>
        <v>Furniture</v>
      </c>
      <c r="K21">
        <f>VLOOKUP(D21,Product_Master!A:D,4,FALSE)</f>
        <v>150</v>
      </c>
      <c r="L21" t="str">
        <f>VLOOKUP(C21,Customer_Master!A:C,2,FALSE)</f>
        <v>TCS</v>
      </c>
      <c r="M21" t="str">
        <f>VLOOKUP(C21,Customer_Master!A:C,3,FALSE)</f>
        <v>Corporate</v>
      </c>
      <c r="N21">
        <f>Table1[[#This Row],[Quantity]]*Table1[[#This Row],[Unit_Price]]</f>
        <v>4175</v>
      </c>
      <c r="O21">
        <f>(Table1[[#This Row],[Unit_Price]]-Table1[[#This Row],[Cost_Price]])*Table1[[#This Row],[Quantity]]</f>
        <v>3425</v>
      </c>
      <c r="P21">
        <f t="shared" si="0"/>
        <v>4175</v>
      </c>
      <c r="Q21" t="str">
        <f>TEXT(Table1[[#This Row],[Order_Date]],"mmm-yyyy")</f>
        <v>Nov-2024</v>
      </c>
    </row>
    <row r="22" spans="1:17" x14ac:dyDescent="0.35">
      <c r="A22" t="s">
        <v>65</v>
      </c>
      <c r="B22" t="s">
        <v>66</v>
      </c>
      <c r="C22" t="s">
        <v>30</v>
      </c>
      <c r="D22" t="s">
        <v>37</v>
      </c>
      <c r="E22" t="s">
        <v>12</v>
      </c>
      <c r="F22" t="s">
        <v>18</v>
      </c>
      <c r="G22">
        <v>10</v>
      </c>
      <c r="H22">
        <v>1221</v>
      </c>
      <c r="I22" t="str">
        <f>VLOOKUP(D22,Product_Master!A:D,2,FALSE)</f>
        <v>Mobile</v>
      </c>
      <c r="J22" t="str">
        <f>VLOOKUP(D22,Product_Master!A:D,3,FALSE)</f>
        <v>Electronics</v>
      </c>
      <c r="K22">
        <f>VLOOKUP(D22,Product_Master!A:D,4,FALSE)</f>
        <v>600</v>
      </c>
      <c r="L22" t="str">
        <f>VLOOKUP(C22,Customer_Master!A:C,2,FALSE)</f>
        <v>Infosys</v>
      </c>
      <c r="M22" t="str">
        <f>VLOOKUP(C22,Customer_Master!A:C,3,FALSE)</f>
        <v>Corporate</v>
      </c>
      <c r="N22">
        <f>Table1[[#This Row],[Quantity]]*Table1[[#This Row],[Unit_Price]]</f>
        <v>12210</v>
      </c>
      <c r="O22">
        <f>(Table1[[#This Row],[Unit_Price]]-Table1[[#This Row],[Cost_Price]])*Table1[[#This Row],[Quantity]]</f>
        <v>6210</v>
      </c>
      <c r="P22">
        <f t="shared" si="0"/>
        <v>12210</v>
      </c>
      <c r="Q22" t="str">
        <f>TEXT(Table1[[#This Row],[Order_Date]],"mmm-yyyy")</f>
        <v>Apr-2024</v>
      </c>
    </row>
    <row r="23" spans="1:17" x14ac:dyDescent="0.35">
      <c r="A23" t="s">
        <v>67</v>
      </c>
      <c r="B23" t="s">
        <v>68</v>
      </c>
      <c r="C23" t="s">
        <v>21</v>
      </c>
      <c r="D23" t="s">
        <v>37</v>
      </c>
      <c r="E23" t="s">
        <v>12</v>
      </c>
      <c r="F23" t="s">
        <v>34</v>
      </c>
      <c r="G23">
        <v>9</v>
      </c>
      <c r="H23">
        <v>1235</v>
      </c>
      <c r="I23" t="str">
        <f>VLOOKUP(D23,Product_Master!A:D,2,FALSE)</f>
        <v>Mobile</v>
      </c>
      <c r="J23" t="str">
        <f>VLOOKUP(D23,Product_Master!A:D,3,FALSE)</f>
        <v>Electronics</v>
      </c>
      <c r="K23">
        <f>VLOOKUP(D23,Product_Master!A:D,4,FALSE)</f>
        <v>600</v>
      </c>
      <c r="L23" t="str">
        <f>VLOOKUP(C23,Customer_Master!A:C,2,FALSE)</f>
        <v>Reliance</v>
      </c>
      <c r="M23" t="str">
        <f>VLOOKUP(C23,Customer_Master!A:C,3,FALSE)</f>
        <v>Corporate</v>
      </c>
      <c r="N23">
        <f>Table1[[#This Row],[Quantity]]*Table1[[#This Row],[Unit_Price]]</f>
        <v>11115</v>
      </c>
      <c r="O23">
        <f>(Table1[[#This Row],[Unit_Price]]-Table1[[#This Row],[Cost_Price]])*Table1[[#This Row],[Quantity]]</f>
        <v>5715</v>
      </c>
      <c r="P23">
        <f t="shared" si="0"/>
        <v>11115</v>
      </c>
      <c r="Q23" t="str">
        <f>TEXT(Table1[[#This Row],[Order_Date]],"mmm-yyyy")</f>
        <v>Dec-2024</v>
      </c>
    </row>
    <row r="24" spans="1:17" x14ac:dyDescent="0.35">
      <c r="A24" t="s">
        <v>69</v>
      </c>
      <c r="B24" t="s">
        <v>70</v>
      </c>
      <c r="C24" t="s">
        <v>30</v>
      </c>
      <c r="D24" t="s">
        <v>37</v>
      </c>
      <c r="E24" t="s">
        <v>27</v>
      </c>
      <c r="F24" t="s">
        <v>13</v>
      </c>
      <c r="G24">
        <v>8</v>
      </c>
      <c r="H24">
        <v>862</v>
      </c>
      <c r="I24" t="str">
        <f>VLOOKUP(D24,Product_Master!A:D,2,FALSE)</f>
        <v>Mobile</v>
      </c>
      <c r="J24" t="str">
        <f>VLOOKUP(D24,Product_Master!A:D,3,FALSE)</f>
        <v>Electronics</v>
      </c>
      <c r="K24">
        <f>VLOOKUP(D24,Product_Master!A:D,4,FALSE)</f>
        <v>600</v>
      </c>
      <c r="L24" t="str">
        <f>VLOOKUP(C24,Customer_Master!A:C,2,FALSE)</f>
        <v>Infosys</v>
      </c>
      <c r="M24" t="str">
        <f>VLOOKUP(C24,Customer_Master!A:C,3,FALSE)</f>
        <v>Corporate</v>
      </c>
      <c r="N24">
        <f>Table1[[#This Row],[Quantity]]*Table1[[#This Row],[Unit_Price]]</f>
        <v>6896</v>
      </c>
      <c r="O24">
        <f>(Table1[[#This Row],[Unit_Price]]-Table1[[#This Row],[Cost_Price]])*Table1[[#This Row],[Quantity]]</f>
        <v>2096</v>
      </c>
      <c r="P24">
        <f t="shared" si="0"/>
        <v>6896</v>
      </c>
      <c r="Q24" t="str">
        <f>TEXT(Table1[[#This Row],[Order_Date]],"mmm-yyyy")</f>
        <v>Mar-2024</v>
      </c>
    </row>
    <row r="25" spans="1:17" x14ac:dyDescent="0.35">
      <c r="A25" t="s">
        <v>71</v>
      </c>
      <c r="B25" t="s">
        <v>72</v>
      </c>
      <c r="C25" t="s">
        <v>42</v>
      </c>
      <c r="D25" t="s">
        <v>22</v>
      </c>
      <c r="E25" t="s">
        <v>17</v>
      </c>
      <c r="F25" t="s">
        <v>13</v>
      </c>
      <c r="G25">
        <v>1</v>
      </c>
      <c r="H25">
        <v>1520</v>
      </c>
      <c r="I25" t="str">
        <f>VLOOKUP(D25,Product_Master!A:D,2,FALSE)</f>
        <v>Desk</v>
      </c>
      <c r="J25" t="str">
        <f>VLOOKUP(D25,Product_Master!A:D,3,FALSE)</f>
        <v>Furniture</v>
      </c>
      <c r="K25">
        <f>VLOOKUP(D25,Product_Master!A:D,4,FALSE)</f>
        <v>300</v>
      </c>
      <c r="L25" t="str">
        <f>VLOOKUP(C25,Customer_Master!A:C,2,FALSE)</f>
        <v>Ramesh</v>
      </c>
      <c r="M25" t="str">
        <f>VLOOKUP(C25,Customer_Master!A:C,3,FALSE)</f>
        <v>Consumer</v>
      </c>
      <c r="N25">
        <f>Table1[[#This Row],[Quantity]]*Table1[[#This Row],[Unit_Price]]</f>
        <v>1520</v>
      </c>
      <c r="O25">
        <f>(Table1[[#This Row],[Unit_Price]]-Table1[[#This Row],[Cost_Price]])*Table1[[#This Row],[Quantity]]</f>
        <v>1220</v>
      </c>
      <c r="P25">
        <f t="shared" si="0"/>
        <v>1520</v>
      </c>
      <c r="Q25" t="str">
        <f>TEXT(Table1[[#This Row],[Order_Date]],"mmm-yyyy")</f>
        <v>Mar-2024</v>
      </c>
    </row>
    <row r="26" spans="1:17" x14ac:dyDescent="0.35">
      <c r="A26" t="s">
        <v>73</v>
      </c>
      <c r="B26" t="s">
        <v>74</v>
      </c>
      <c r="C26" t="s">
        <v>10</v>
      </c>
      <c r="D26" t="s">
        <v>11</v>
      </c>
      <c r="E26" t="s">
        <v>27</v>
      </c>
      <c r="F26" t="s">
        <v>34</v>
      </c>
      <c r="G26">
        <v>2</v>
      </c>
      <c r="H26">
        <v>825</v>
      </c>
      <c r="I26" t="str">
        <f>VLOOKUP(D26,Product_Master!A:D,2,FALSE)</f>
        <v>Chair</v>
      </c>
      <c r="J26" t="str">
        <f>VLOOKUP(D26,Product_Master!A:D,3,FALSE)</f>
        <v>Furniture</v>
      </c>
      <c r="K26">
        <f>VLOOKUP(D26,Product_Master!A:D,4,FALSE)</f>
        <v>150</v>
      </c>
      <c r="L26" t="str">
        <f>VLOOKUP(C26,Customer_Master!A:C,2,FALSE)</f>
        <v>Suresh</v>
      </c>
      <c r="M26" t="str">
        <f>VLOOKUP(C26,Customer_Master!A:C,3,FALSE)</f>
        <v>Consumer</v>
      </c>
      <c r="N26">
        <f>Table1[[#This Row],[Quantity]]*Table1[[#This Row],[Unit_Price]]</f>
        <v>1650</v>
      </c>
      <c r="O26">
        <f>(Table1[[#This Row],[Unit_Price]]-Table1[[#This Row],[Cost_Price]])*Table1[[#This Row],[Quantity]]</f>
        <v>1350</v>
      </c>
      <c r="P26">
        <f t="shared" si="0"/>
        <v>1650</v>
      </c>
      <c r="Q26" t="str">
        <f>TEXT(Table1[[#This Row],[Order_Date]],"mmm-yyyy")</f>
        <v>Sep-2024</v>
      </c>
    </row>
    <row r="27" spans="1:17" x14ac:dyDescent="0.35">
      <c r="A27" t="s">
        <v>75</v>
      </c>
      <c r="B27" t="s">
        <v>76</v>
      </c>
      <c r="C27" t="s">
        <v>42</v>
      </c>
      <c r="D27" t="s">
        <v>37</v>
      </c>
      <c r="E27" t="s">
        <v>17</v>
      </c>
      <c r="F27" t="s">
        <v>34</v>
      </c>
      <c r="G27">
        <v>9</v>
      </c>
      <c r="H27">
        <v>1146</v>
      </c>
      <c r="I27" t="str">
        <f>VLOOKUP(D27,Product_Master!A:D,2,FALSE)</f>
        <v>Mobile</v>
      </c>
      <c r="J27" t="str">
        <f>VLOOKUP(D27,Product_Master!A:D,3,FALSE)</f>
        <v>Electronics</v>
      </c>
      <c r="K27">
        <f>VLOOKUP(D27,Product_Master!A:D,4,FALSE)</f>
        <v>600</v>
      </c>
      <c r="L27" t="str">
        <f>VLOOKUP(C27,Customer_Master!A:C,2,FALSE)</f>
        <v>Ramesh</v>
      </c>
      <c r="M27" t="str">
        <f>VLOOKUP(C27,Customer_Master!A:C,3,FALSE)</f>
        <v>Consumer</v>
      </c>
      <c r="N27">
        <f>Table1[[#This Row],[Quantity]]*Table1[[#This Row],[Unit_Price]]</f>
        <v>10314</v>
      </c>
      <c r="O27">
        <f>(Table1[[#This Row],[Unit_Price]]-Table1[[#This Row],[Cost_Price]])*Table1[[#This Row],[Quantity]]</f>
        <v>4914</v>
      </c>
      <c r="P27">
        <f t="shared" si="0"/>
        <v>10314</v>
      </c>
      <c r="Q27" t="str">
        <f>TEXT(Table1[[#This Row],[Order_Date]],"mmm-yyyy")</f>
        <v>Jan-2024</v>
      </c>
    </row>
    <row r="28" spans="1:17" x14ac:dyDescent="0.35">
      <c r="A28" t="s">
        <v>77</v>
      </c>
      <c r="B28" t="s">
        <v>78</v>
      </c>
      <c r="C28" t="s">
        <v>45</v>
      </c>
      <c r="D28" t="s">
        <v>37</v>
      </c>
      <c r="E28" t="s">
        <v>33</v>
      </c>
      <c r="F28" t="s">
        <v>13</v>
      </c>
      <c r="G28">
        <v>5</v>
      </c>
      <c r="H28">
        <v>1411</v>
      </c>
      <c r="I28" t="str">
        <f>VLOOKUP(D28,Product_Master!A:D,2,FALSE)</f>
        <v>Mobile</v>
      </c>
      <c r="J28" t="str">
        <f>VLOOKUP(D28,Product_Master!A:D,3,FALSE)</f>
        <v>Electronics</v>
      </c>
      <c r="K28">
        <f>VLOOKUP(D28,Product_Master!A:D,4,FALSE)</f>
        <v>600</v>
      </c>
      <c r="L28" t="str">
        <f>VLOOKUP(C28,Customer_Master!A:C,2,FALSE)</f>
        <v>TCS</v>
      </c>
      <c r="M28" t="str">
        <f>VLOOKUP(C28,Customer_Master!A:C,3,FALSE)</f>
        <v>Corporate</v>
      </c>
      <c r="N28">
        <f>Table1[[#This Row],[Quantity]]*Table1[[#This Row],[Unit_Price]]</f>
        <v>7055</v>
      </c>
      <c r="O28">
        <f>(Table1[[#This Row],[Unit_Price]]-Table1[[#This Row],[Cost_Price]])*Table1[[#This Row],[Quantity]]</f>
        <v>4055</v>
      </c>
      <c r="P28">
        <f t="shared" si="0"/>
        <v>7055</v>
      </c>
      <c r="Q28" t="str">
        <f>TEXT(Table1[[#This Row],[Order_Date]],"mmm-yyyy")</f>
        <v>Dec-2024</v>
      </c>
    </row>
    <row r="29" spans="1:17" x14ac:dyDescent="0.35">
      <c r="A29" t="s">
        <v>79</v>
      </c>
      <c r="B29" t="s">
        <v>80</v>
      </c>
      <c r="C29" t="s">
        <v>10</v>
      </c>
      <c r="D29" t="s">
        <v>16</v>
      </c>
      <c r="E29" t="s">
        <v>12</v>
      </c>
      <c r="F29" t="s">
        <v>13</v>
      </c>
      <c r="G29">
        <v>8</v>
      </c>
      <c r="H29">
        <v>1735</v>
      </c>
      <c r="I29" t="str">
        <f>VLOOKUP(D29,Product_Master!A:D,2,FALSE)</f>
        <v>Printer</v>
      </c>
      <c r="J29" t="str">
        <f>VLOOKUP(D29,Product_Master!A:D,3,FALSE)</f>
        <v>Electronics</v>
      </c>
      <c r="K29">
        <f>VLOOKUP(D29,Product_Master!A:D,4,FALSE)</f>
        <v>1100</v>
      </c>
      <c r="L29" t="str">
        <f>VLOOKUP(C29,Customer_Master!A:C,2,FALSE)</f>
        <v>Suresh</v>
      </c>
      <c r="M29" t="str">
        <f>VLOOKUP(C29,Customer_Master!A:C,3,FALSE)</f>
        <v>Consumer</v>
      </c>
      <c r="N29">
        <f>Table1[[#This Row],[Quantity]]*Table1[[#This Row],[Unit_Price]]</f>
        <v>13880</v>
      </c>
      <c r="O29">
        <f>(Table1[[#This Row],[Unit_Price]]-Table1[[#This Row],[Cost_Price]])*Table1[[#This Row],[Quantity]]</f>
        <v>5080</v>
      </c>
      <c r="P29">
        <f t="shared" si="0"/>
        <v>13880</v>
      </c>
      <c r="Q29" t="str">
        <f>TEXT(Table1[[#This Row],[Order_Date]],"mmm-yyyy")</f>
        <v>Dec-2024</v>
      </c>
    </row>
    <row r="30" spans="1:17" x14ac:dyDescent="0.35">
      <c r="A30" t="s">
        <v>81</v>
      </c>
      <c r="B30" t="s">
        <v>82</v>
      </c>
      <c r="C30" t="s">
        <v>45</v>
      </c>
      <c r="D30" t="s">
        <v>26</v>
      </c>
      <c r="E30" t="s">
        <v>17</v>
      </c>
      <c r="F30" t="s">
        <v>34</v>
      </c>
      <c r="G30">
        <v>2</v>
      </c>
      <c r="H30">
        <v>1624</v>
      </c>
      <c r="I30" t="str">
        <f>VLOOKUP(D30,Product_Master!A:D,2,FALSE)</f>
        <v>Laptop</v>
      </c>
      <c r="J30" t="str">
        <f>VLOOKUP(D30,Product_Master!A:D,3,FALSE)</f>
        <v>Electronics</v>
      </c>
      <c r="K30">
        <f>VLOOKUP(D30,Product_Master!A:D,4,FALSE)</f>
        <v>900</v>
      </c>
      <c r="L30" t="str">
        <f>VLOOKUP(C30,Customer_Master!A:C,2,FALSE)</f>
        <v>TCS</v>
      </c>
      <c r="M30" t="str">
        <f>VLOOKUP(C30,Customer_Master!A:C,3,FALSE)</f>
        <v>Corporate</v>
      </c>
      <c r="N30">
        <f>Table1[[#This Row],[Quantity]]*Table1[[#This Row],[Unit_Price]]</f>
        <v>3248</v>
      </c>
      <c r="O30">
        <f>(Table1[[#This Row],[Unit_Price]]-Table1[[#This Row],[Cost_Price]])*Table1[[#This Row],[Quantity]]</f>
        <v>1448</v>
      </c>
      <c r="P30">
        <f t="shared" si="0"/>
        <v>3248</v>
      </c>
      <c r="Q30" t="str">
        <f>TEXT(Table1[[#This Row],[Order_Date]],"mmm-yyyy")</f>
        <v>Jan-2024</v>
      </c>
    </row>
    <row r="31" spans="1:17" x14ac:dyDescent="0.35">
      <c r="A31" t="s">
        <v>83</v>
      </c>
      <c r="B31" t="s">
        <v>84</v>
      </c>
      <c r="C31" t="s">
        <v>42</v>
      </c>
      <c r="D31" t="s">
        <v>11</v>
      </c>
      <c r="E31" t="s">
        <v>17</v>
      </c>
      <c r="F31" t="s">
        <v>13</v>
      </c>
      <c r="G31">
        <v>5</v>
      </c>
      <c r="H31">
        <v>1295</v>
      </c>
      <c r="I31" t="str">
        <f>VLOOKUP(D31,Product_Master!A:D,2,FALSE)</f>
        <v>Chair</v>
      </c>
      <c r="J31" t="str">
        <f>VLOOKUP(D31,Product_Master!A:D,3,FALSE)</f>
        <v>Furniture</v>
      </c>
      <c r="K31">
        <f>VLOOKUP(D31,Product_Master!A:D,4,FALSE)</f>
        <v>150</v>
      </c>
      <c r="L31" t="str">
        <f>VLOOKUP(C31,Customer_Master!A:C,2,FALSE)</f>
        <v>Ramesh</v>
      </c>
      <c r="M31" t="str">
        <f>VLOOKUP(C31,Customer_Master!A:C,3,FALSE)</f>
        <v>Consumer</v>
      </c>
      <c r="N31">
        <f>Table1[[#This Row],[Quantity]]*Table1[[#This Row],[Unit_Price]]</f>
        <v>6475</v>
      </c>
      <c r="O31">
        <f>(Table1[[#This Row],[Unit_Price]]-Table1[[#This Row],[Cost_Price]])*Table1[[#This Row],[Quantity]]</f>
        <v>5725</v>
      </c>
      <c r="P31">
        <f t="shared" si="0"/>
        <v>6475</v>
      </c>
      <c r="Q31" t="str">
        <f>TEXT(Table1[[#This Row],[Order_Date]],"mmm-yyyy")</f>
        <v>Nov-2024</v>
      </c>
    </row>
    <row r="32" spans="1:17" x14ac:dyDescent="0.35">
      <c r="A32" t="s">
        <v>85</v>
      </c>
      <c r="B32" t="s">
        <v>86</v>
      </c>
      <c r="C32" t="s">
        <v>21</v>
      </c>
      <c r="D32" t="s">
        <v>37</v>
      </c>
      <c r="E32" t="s">
        <v>33</v>
      </c>
      <c r="F32" t="s">
        <v>18</v>
      </c>
      <c r="G32">
        <v>5</v>
      </c>
      <c r="H32">
        <v>1791</v>
      </c>
      <c r="I32" t="str">
        <f>VLOOKUP(D32,Product_Master!A:D,2,FALSE)</f>
        <v>Mobile</v>
      </c>
      <c r="J32" t="str">
        <f>VLOOKUP(D32,Product_Master!A:D,3,FALSE)</f>
        <v>Electronics</v>
      </c>
      <c r="K32">
        <f>VLOOKUP(D32,Product_Master!A:D,4,FALSE)</f>
        <v>600</v>
      </c>
      <c r="L32" t="str">
        <f>VLOOKUP(C32,Customer_Master!A:C,2,FALSE)</f>
        <v>Reliance</v>
      </c>
      <c r="M32" t="str">
        <f>VLOOKUP(C32,Customer_Master!A:C,3,FALSE)</f>
        <v>Corporate</v>
      </c>
      <c r="N32">
        <f>Table1[[#This Row],[Quantity]]*Table1[[#This Row],[Unit_Price]]</f>
        <v>8955</v>
      </c>
      <c r="O32">
        <f>(Table1[[#This Row],[Unit_Price]]-Table1[[#This Row],[Cost_Price]])*Table1[[#This Row],[Quantity]]</f>
        <v>5955</v>
      </c>
      <c r="P32">
        <f t="shared" si="0"/>
        <v>8955</v>
      </c>
      <c r="Q32" t="str">
        <f>TEXT(Table1[[#This Row],[Order_Date]],"mmm-yyyy")</f>
        <v>Feb-2024</v>
      </c>
    </row>
    <row r="33" spans="1:17" x14ac:dyDescent="0.35">
      <c r="A33" t="s">
        <v>87</v>
      </c>
      <c r="B33" t="s">
        <v>88</v>
      </c>
      <c r="C33" t="s">
        <v>42</v>
      </c>
      <c r="D33" t="s">
        <v>16</v>
      </c>
      <c r="E33" t="s">
        <v>17</v>
      </c>
      <c r="F33" t="s">
        <v>23</v>
      </c>
      <c r="G33">
        <v>5</v>
      </c>
      <c r="H33">
        <v>1264</v>
      </c>
      <c r="I33" t="str">
        <f>VLOOKUP(D33,Product_Master!A:D,2,FALSE)</f>
        <v>Printer</v>
      </c>
      <c r="J33" t="str">
        <f>VLOOKUP(D33,Product_Master!A:D,3,FALSE)</f>
        <v>Electronics</v>
      </c>
      <c r="K33">
        <f>VLOOKUP(D33,Product_Master!A:D,4,FALSE)</f>
        <v>1100</v>
      </c>
      <c r="L33" t="str">
        <f>VLOOKUP(C33,Customer_Master!A:C,2,FALSE)</f>
        <v>Ramesh</v>
      </c>
      <c r="M33" t="str">
        <f>VLOOKUP(C33,Customer_Master!A:C,3,FALSE)</f>
        <v>Consumer</v>
      </c>
      <c r="N33">
        <f>Table1[[#This Row],[Quantity]]*Table1[[#This Row],[Unit_Price]]</f>
        <v>6320</v>
      </c>
      <c r="O33">
        <f>(Table1[[#This Row],[Unit_Price]]-Table1[[#This Row],[Cost_Price]])*Table1[[#This Row],[Quantity]]</f>
        <v>820</v>
      </c>
      <c r="P33">
        <f t="shared" si="0"/>
        <v>6320</v>
      </c>
      <c r="Q33" t="str">
        <f>TEXT(Table1[[#This Row],[Order_Date]],"mmm-yyyy")</f>
        <v>Jul-2024</v>
      </c>
    </row>
    <row r="34" spans="1:17" x14ac:dyDescent="0.35">
      <c r="A34" t="s">
        <v>89</v>
      </c>
      <c r="B34" t="s">
        <v>90</v>
      </c>
      <c r="C34" t="s">
        <v>42</v>
      </c>
      <c r="D34" t="s">
        <v>16</v>
      </c>
      <c r="E34" t="s">
        <v>33</v>
      </c>
      <c r="F34" t="s">
        <v>34</v>
      </c>
      <c r="G34">
        <v>6</v>
      </c>
      <c r="H34">
        <v>1134</v>
      </c>
      <c r="I34" t="str">
        <f>VLOOKUP(D34,Product_Master!A:D,2,FALSE)</f>
        <v>Printer</v>
      </c>
      <c r="J34" t="str">
        <f>VLOOKUP(D34,Product_Master!A:D,3,FALSE)</f>
        <v>Electronics</v>
      </c>
      <c r="K34">
        <f>VLOOKUP(D34,Product_Master!A:D,4,FALSE)</f>
        <v>1100</v>
      </c>
      <c r="L34" t="str">
        <f>VLOOKUP(C34,Customer_Master!A:C,2,FALSE)</f>
        <v>Ramesh</v>
      </c>
      <c r="M34" t="str">
        <f>VLOOKUP(C34,Customer_Master!A:C,3,FALSE)</f>
        <v>Consumer</v>
      </c>
      <c r="N34">
        <f>Table1[[#This Row],[Quantity]]*Table1[[#This Row],[Unit_Price]]</f>
        <v>6804</v>
      </c>
      <c r="O34">
        <f>(Table1[[#This Row],[Unit_Price]]-Table1[[#This Row],[Cost_Price]])*Table1[[#This Row],[Quantity]]</f>
        <v>204</v>
      </c>
      <c r="P34">
        <f t="shared" si="0"/>
        <v>6804</v>
      </c>
      <c r="Q34" t="str">
        <f>TEXT(Table1[[#This Row],[Order_Date]],"mmm-yyyy")</f>
        <v>Dec-2024</v>
      </c>
    </row>
    <row r="35" spans="1:17" x14ac:dyDescent="0.35">
      <c r="A35" t="s">
        <v>91</v>
      </c>
      <c r="B35" t="s">
        <v>92</v>
      </c>
      <c r="C35" t="s">
        <v>42</v>
      </c>
      <c r="D35" t="s">
        <v>11</v>
      </c>
      <c r="E35" t="s">
        <v>17</v>
      </c>
      <c r="F35" t="s">
        <v>34</v>
      </c>
      <c r="G35">
        <v>4</v>
      </c>
      <c r="H35">
        <v>1208</v>
      </c>
      <c r="I35" t="str">
        <f>VLOOKUP(D35,Product_Master!A:D,2,FALSE)</f>
        <v>Chair</v>
      </c>
      <c r="J35" t="str">
        <f>VLOOKUP(D35,Product_Master!A:D,3,FALSE)</f>
        <v>Furniture</v>
      </c>
      <c r="K35">
        <f>VLOOKUP(D35,Product_Master!A:D,4,FALSE)</f>
        <v>150</v>
      </c>
      <c r="L35" t="str">
        <f>VLOOKUP(C35,Customer_Master!A:C,2,FALSE)</f>
        <v>Ramesh</v>
      </c>
      <c r="M35" t="str">
        <f>VLOOKUP(C35,Customer_Master!A:C,3,FALSE)</f>
        <v>Consumer</v>
      </c>
      <c r="N35">
        <f>Table1[[#This Row],[Quantity]]*Table1[[#This Row],[Unit_Price]]</f>
        <v>4832</v>
      </c>
      <c r="O35">
        <f>(Table1[[#This Row],[Unit_Price]]-Table1[[#This Row],[Cost_Price]])*Table1[[#This Row],[Quantity]]</f>
        <v>4232</v>
      </c>
      <c r="P35">
        <f t="shared" si="0"/>
        <v>4832</v>
      </c>
      <c r="Q35" t="str">
        <f>TEXT(Table1[[#This Row],[Order_Date]],"mmm-yyyy")</f>
        <v>Oct-2024</v>
      </c>
    </row>
    <row r="36" spans="1:17" x14ac:dyDescent="0.35">
      <c r="A36" t="s">
        <v>93</v>
      </c>
      <c r="B36" t="s">
        <v>94</v>
      </c>
      <c r="C36" t="s">
        <v>21</v>
      </c>
      <c r="D36" t="s">
        <v>37</v>
      </c>
      <c r="E36" t="s">
        <v>33</v>
      </c>
      <c r="F36" t="s">
        <v>13</v>
      </c>
      <c r="G36">
        <v>7</v>
      </c>
      <c r="H36">
        <v>1164</v>
      </c>
      <c r="I36" t="str">
        <f>VLOOKUP(D36,Product_Master!A:D,2,FALSE)</f>
        <v>Mobile</v>
      </c>
      <c r="J36" t="str">
        <f>VLOOKUP(D36,Product_Master!A:D,3,FALSE)</f>
        <v>Electronics</v>
      </c>
      <c r="K36">
        <f>VLOOKUP(D36,Product_Master!A:D,4,FALSE)</f>
        <v>600</v>
      </c>
      <c r="L36" t="str">
        <f>VLOOKUP(C36,Customer_Master!A:C,2,FALSE)</f>
        <v>Reliance</v>
      </c>
      <c r="M36" t="str">
        <f>VLOOKUP(C36,Customer_Master!A:C,3,FALSE)</f>
        <v>Corporate</v>
      </c>
      <c r="N36">
        <f>Table1[[#This Row],[Quantity]]*Table1[[#This Row],[Unit_Price]]</f>
        <v>8148</v>
      </c>
      <c r="O36">
        <f>(Table1[[#This Row],[Unit_Price]]-Table1[[#This Row],[Cost_Price]])*Table1[[#This Row],[Quantity]]</f>
        <v>3948</v>
      </c>
      <c r="P36">
        <f t="shared" si="0"/>
        <v>8148</v>
      </c>
      <c r="Q36" t="str">
        <f>TEXT(Table1[[#This Row],[Order_Date]],"mmm-yyyy")</f>
        <v>Feb-2024</v>
      </c>
    </row>
    <row r="37" spans="1:17" x14ac:dyDescent="0.35">
      <c r="A37" t="s">
        <v>95</v>
      </c>
      <c r="B37" t="s">
        <v>96</v>
      </c>
      <c r="C37" t="s">
        <v>42</v>
      </c>
      <c r="D37" t="s">
        <v>16</v>
      </c>
      <c r="E37" t="s">
        <v>12</v>
      </c>
      <c r="F37" t="s">
        <v>23</v>
      </c>
      <c r="G37">
        <v>9</v>
      </c>
      <c r="H37">
        <v>995</v>
      </c>
      <c r="I37" t="str">
        <f>VLOOKUP(D37,Product_Master!A:D,2,FALSE)</f>
        <v>Printer</v>
      </c>
      <c r="J37" t="str">
        <f>VLOOKUP(D37,Product_Master!A:D,3,FALSE)</f>
        <v>Electronics</v>
      </c>
      <c r="K37">
        <f>VLOOKUP(D37,Product_Master!A:D,4,FALSE)</f>
        <v>1100</v>
      </c>
      <c r="L37" t="str">
        <f>VLOOKUP(C37,Customer_Master!A:C,2,FALSE)</f>
        <v>Ramesh</v>
      </c>
      <c r="M37" t="str">
        <f>VLOOKUP(C37,Customer_Master!A:C,3,FALSE)</f>
        <v>Consumer</v>
      </c>
      <c r="N37">
        <f>Table1[[#This Row],[Quantity]]*Table1[[#This Row],[Unit_Price]]</f>
        <v>8955</v>
      </c>
      <c r="O37">
        <f>(Table1[[#This Row],[Unit_Price]]-Table1[[#This Row],[Cost_Price]])*Table1[[#This Row],[Quantity]]</f>
        <v>-945</v>
      </c>
      <c r="P37">
        <f t="shared" si="0"/>
        <v>8955</v>
      </c>
      <c r="Q37" t="str">
        <f>TEXT(Table1[[#This Row],[Order_Date]],"mmm-yyyy")</f>
        <v>Jan-2024</v>
      </c>
    </row>
    <row r="38" spans="1:17" x14ac:dyDescent="0.35">
      <c r="A38" t="s">
        <v>97</v>
      </c>
      <c r="B38" t="s">
        <v>98</v>
      </c>
      <c r="C38" t="s">
        <v>42</v>
      </c>
      <c r="D38" t="s">
        <v>37</v>
      </c>
      <c r="E38" t="s">
        <v>33</v>
      </c>
      <c r="F38" t="s">
        <v>18</v>
      </c>
      <c r="G38">
        <v>6</v>
      </c>
      <c r="H38">
        <v>1337</v>
      </c>
      <c r="I38" t="str">
        <f>VLOOKUP(D38,Product_Master!A:D,2,FALSE)</f>
        <v>Mobile</v>
      </c>
      <c r="J38" t="str">
        <f>VLOOKUP(D38,Product_Master!A:D,3,FALSE)</f>
        <v>Electronics</v>
      </c>
      <c r="K38">
        <f>VLOOKUP(D38,Product_Master!A:D,4,FALSE)</f>
        <v>600</v>
      </c>
      <c r="L38" t="str">
        <f>VLOOKUP(C38,Customer_Master!A:C,2,FALSE)</f>
        <v>Ramesh</v>
      </c>
      <c r="M38" t="str">
        <f>VLOOKUP(C38,Customer_Master!A:C,3,FALSE)</f>
        <v>Consumer</v>
      </c>
      <c r="N38">
        <f>Table1[[#This Row],[Quantity]]*Table1[[#This Row],[Unit_Price]]</f>
        <v>8022</v>
      </c>
      <c r="O38">
        <f>(Table1[[#This Row],[Unit_Price]]-Table1[[#This Row],[Cost_Price]])*Table1[[#This Row],[Quantity]]</f>
        <v>4422</v>
      </c>
      <c r="P38">
        <f t="shared" si="0"/>
        <v>8022</v>
      </c>
      <c r="Q38" t="str">
        <f>TEXT(Table1[[#This Row],[Order_Date]],"mmm-yyyy")</f>
        <v>Nov-2024</v>
      </c>
    </row>
    <row r="39" spans="1:17" x14ac:dyDescent="0.35">
      <c r="A39" t="s">
        <v>99</v>
      </c>
      <c r="B39" t="s">
        <v>100</v>
      </c>
      <c r="C39" t="s">
        <v>42</v>
      </c>
      <c r="D39" t="s">
        <v>22</v>
      </c>
      <c r="E39" t="s">
        <v>33</v>
      </c>
      <c r="F39" t="s">
        <v>13</v>
      </c>
      <c r="G39">
        <v>6</v>
      </c>
      <c r="H39">
        <v>980</v>
      </c>
      <c r="I39" t="str">
        <f>VLOOKUP(D39,Product_Master!A:D,2,FALSE)</f>
        <v>Desk</v>
      </c>
      <c r="J39" t="str">
        <f>VLOOKUP(D39,Product_Master!A:D,3,FALSE)</f>
        <v>Furniture</v>
      </c>
      <c r="K39">
        <f>VLOOKUP(D39,Product_Master!A:D,4,FALSE)</f>
        <v>300</v>
      </c>
      <c r="L39" t="str">
        <f>VLOOKUP(C39,Customer_Master!A:C,2,FALSE)</f>
        <v>Ramesh</v>
      </c>
      <c r="M39" t="str">
        <f>VLOOKUP(C39,Customer_Master!A:C,3,FALSE)</f>
        <v>Consumer</v>
      </c>
      <c r="N39">
        <f>Table1[[#This Row],[Quantity]]*Table1[[#This Row],[Unit_Price]]</f>
        <v>5880</v>
      </c>
      <c r="O39">
        <f>(Table1[[#This Row],[Unit_Price]]-Table1[[#This Row],[Cost_Price]])*Table1[[#This Row],[Quantity]]</f>
        <v>4080</v>
      </c>
      <c r="P39">
        <f t="shared" si="0"/>
        <v>5880</v>
      </c>
      <c r="Q39" t="str">
        <f>TEXT(Table1[[#This Row],[Order_Date]],"mmm-yyyy")</f>
        <v>Nov-2024</v>
      </c>
    </row>
    <row r="40" spans="1:17" x14ac:dyDescent="0.35">
      <c r="A40" t="s">
        <v>101</v>
      </c>
      <c r="B40" t="s">
        <v>102</v>
      </c>
      <c r="C40" t="s">
        <v>45</v>
      </c>
      <c r="D40" t="s">
        <v>37</v>
      </c>
      <c r="E40" t="s">
        <v>33</v>
      </c>
      <c r="F40" t="s">
        <v>34</v>
      </c>
      <c r="G40">
        <v>5</v>
      </c>
      <c r="H40">
        <v>1933</v>
      </c>
      <c r="I40" t="str">
        <f>VLOOKUP(D40,Product_Master!A:D,2,FALSE)</f>
        <v>Mobile</v>
      </c>
      <c r="J40" t="str">
        <f>VLOOKUP(D40,Product_Master!A:D,3,FALSE)</f>
        <v>Electronics</v>
      </c>
      <c r="K40">
        <f>VLOOKUP(D40,Product_Master!A:D,4,FALSE)</f>
        <v>600</v>
      </c>
      <c r="L40" t="str">
        <f>VLOOKUP(C40,Customer_Master!A:C,2,FALSE)</f>
        <v>TCS</v>
      </c>
      <c r="M40" t="str">
        <f>VLOOKUP(C40,Customer_Master!A:C,3,FALSE)</f>
        <v>Corporate</v>
      </c>
      <c r="N40">
        <f>Table1[[#This Row],[Quantity]]*Table1[[#This Row],[Unit_Price]]</f>
        <v>9665</v>
      </c>
      <c r="O40">
        <f>(Table1[[#This Row],[Unit_Price]]-Table1[[#This Row],[Cost_Price]])*Table1[[#This Row],[Quantity]]</f>
        <v>6665</v>
      </c>
      <c r="P40">
        <f t="shared" si="0"/>
        <v>9665</v>
      </c>
      <c r="Q40" t="str">
        <f>TEXT(Table1[[#This Row],[Order_Date]],"mmm-yyyy")</f>
        <v>May-2024</v>
      </c>
    </row>
    <row r="41" spans="1:17" x14ac:dyDescent="0.35">
      <c r="A41" t="s">
        <v>103</v>
      </c>
      <c r="B41" t="s">
        <v>104</v>
      </c>
      <c r="C41" t="s">
        <v>21</v>
      </c>
      <c r="D41" t="s">
        <v>26</v>
      </c>
      <c r="E41" t="s">
        <v>33</v>
      </c>
      <c r="F41" t="s">
        <v>23</v>
      </c>
      <c r="G41">
        <v>1</v>
      </c>
      <c r="H41">
        <v>1386</v>
      </c>
      <c r="I41" t="str">
        <f>VLOOKUP(D41,Product_Master!A:D,2,FALSE)</f>
        <v>Laptop</v>
      </c>
      <c r="J41" t="str">
        <f>VLOOKUP(D41,Product_Master!A:D,3,FALSE)</f>
        <v>Electronics</v>
      </c>
      <c r="K41">
        <f>VLOOKUP(D41,Product_Master!A:D,4,FALSE)</f>
        <v>900</v>
      </c>
      <c r="L41" t="str">
        <f>VLOOKUP(C41,Customer_Master!A:C,2,FALSE)</f>
        <v>Reliance</v>
      </c>
      <c r="M41" t="str">
        <f>VLOOKUP(C41,Customer_Master!A:C,3,FALSE)</f>
        <v>Corporate</v>
      </c>
      <c r="N41">
        <f>Table1[[#This Row],[Quantity]]*Table1[[#This Row],[Unit_Price]]</f>
        <v>1386</v>
      </c>
      <c r="O41">
        <f>(Table1[[#This Row],[Unit_Price]]-Table1[[#This Row],[Cost_Price]])*Table1[[#This Row],[Quantity]]</f>
        <v>486</v>
      </c>
      <c r="P41">
        <f t="shared" si="0"/>
        <v>1386</v>
      </c>
      <c r="Q41" t="str">
        <f>TEXT(Table1[[#This Row],[Order_Date]],"mmm-yyyy")</f>
        <v>Oct-2024</v>
      </c>
    </row>
    <row r="42" spans="1:17" x14ac:dyDescent="0.35">
      <c r="A42" t="s">
        <v>105</v>
      </c>
      <c r="B42" t="s">
        <v>76</v>
      </c>
      <c r="C42" t="s">
        <v>10</v>
      </c>
      <c r="D42" t="s">
        <v>37</v>
      </c>
      <c r="E42" t="s">
        <v>27</v>
      </c>
      <c r="F42" t="s">
        <v>13</v>
      </c>
      <c r="G42">
        <v>7</v>
      </c>
      <c r="H42">
        <v>1452</v>
      </c>
      <c r="I42" t="str">
        <f>VLOOKUP(D42,Product_Master!A:D,2,FALSE)</f>
        <v>Mobile</v>
      </c>
      <c r="J42" t="str">
        <f>VLOOKUP(D42,Product_Master!A:D,3,FALSE)</f>
        <v>Electronics</v>
      </c>
      <c r="K42">
        <f>VLOOKUP(D42,Product_Master!A:D,4,FALSE)</f>
        <v>600</v>
      </c>
      <c r="L42" t="str">
        <f>VLOOKUP(C42,Customer_Master!A:C,2,FALSE)</f>
        <v>Suresh</v>
      </c>
      <c r="M42" t="str">
        <f>VLOOKUP(C42,Customer_Master!A:C,3,FALSE)</f>
        <v>Consumer</v>
      </c>
      <c r="N42">
        <f>Table1[[#This Row],[Quantity]]*Table1[[#This Row],[Unit_Price]]</f>
        <v>10164</v>
      </c>
      <c r="O42">
        <f>(Table1[[#This Row],[Unit_Price]]-Table1[[#This Row],[Cost_Price]])*Table1[[#This Row],[Quantity]]</f>
        <v>5964</v>
      </c>
      <c r="P42">
        <f t="shared" si="0"/>
        <v>10164</v>
      </c>
      <c r="Q42" t="str">
        <f>TEXT(Table1[[#This Row],[Order_Date]],"mmm-yyyy")</f>
        <v>Jan-2024</v>
      </c>
    </row>
    <row r="43" spans="1:17" x14ac:dyDescent="0.35">
      <c r="A43" t="s">
        <v>106</v>
      </c>
      <c r="B43" t="s">
        <v>107</v>
      </c>
      <c r="C43" t="s">
        <v>10</v>
      </c>
      <c r="D43" t="s">
        <v>11</v>
      </c>
      <c r="E43" t="s">
        <v>12</v>
      </c>
      <c r="F43" t="s">
        <v>18</v>
      </c>
      <c r="G43">
        <v>3</v>
      </c>
      <c r="H43">
        <v>1203</v>
      </c>
      <c r="I43" t="str">
        <f>VLOOKUP(D43,Product_Master!A:D,2,FALSE)</f>
        <v>Chair</v>
      </c>
      <c r="J43" t="str">
        <f>VLOOKUP(D43,Product_Master!A:D,3,FALSE)</f>
        <v>Furniture</v>
      </c>
      <c r="K43">
        <f>VLOOKUP(D43,Product_Master!A:D,4,FALSE)</f>
        <v>150</v>
      </c>
      <c r="L43" t="str">
        <f>VLOOKUP(C43,Customer_Master!A:C,2,FALSE)</f>
        <v>Suresh</v>
      </c>
      <c r="M43" t="str">
        <f>VLOOKUP(C43,Customer_Master!A:C,3,FALSE)</f>
        <v>Consumer</v>
      </c>
      <c r="N43">
        <f>Table1[[#This Row],[Quantity]]*Table1[[#This Row],[Unit_Price]]</f>
        <v>3609</v>
      </c>
      <c r="O43">
        <f>(Table1[[#This Row],[Unit_Price]]-Table1[[#This Row],[Cost_Price]])*Table1[[#This Row],[Quantity]]</f>
        <v>3159</v>
      </c>
      <c r="P43">
        <f t="shared" si="0"/>
        <v>3609</v>
      </c>
      <c r="Q43" t="str">
        <f>TEXT(Table1[[#This Row],[Order_Date]],"mmm-yyyy")</f>
        <v>Jul-2024</v>
      </c>
    </row>
    <row r="44" spans="1:17" x14ac:dyDescent="0.35">
      <c r="A44" t="s">
        <v>108</v>
      </c>
      <c r="B44" t="s">
        <v>109</v>
      </c>
      <c r="C44" t="s">
        <v>30</v>
      </c>
      <c r="D44" t="s">
        <v>11</v>
      </c>
      <c r="E44" t="s">
        <v>33</v>
      </c>
      <c r="F44" t="s">
        <v>23</v>
      </c>
      <c r="G44">
        <v>3</v>
      </c>
      <c r="H44">
        <v>1508</v>
      </c>
      <c r="I44" t="str">
        <f>VLOOKUP(D44,Product_Master!A:D,2,FALSE)</f>
        <v>Chair</v>
      </c>
      <c r="J44" t="str">
        <f>VLOOKUP(D44,Product_Master!A:D,3,FALSE)</f>
        <v>Furniture</v>
      </c>
      <c r="K44">
        <f>VLOOKUP(D44,Product_Master!A:D,4,FALSE)</f>
        <v>150</v>
      </c>
      <c r="L44" t="str">
        <f>VLOOKUP(C44,Customer_Master!A:C,2,FALSE)</f>
        <v>Infosys</v>
      </c>
      <c r="M44" t="str">
        <f>VLOOKUP(C44,Customer_Master!A:C,3,FALSE)</f>
        <v>Corporate</v>
      </c>
      <c r="N44">
        <f>Table1[[#This Row],[Quantity]]*Table1[[#This Row],[Unit_Price]]</f>
        <v>4524</v>
      </c>
      <c r="O44">
        <f>(Table1[[#This Row],[Unit_Price]]-Table1[[#This Row],[Cost_Price]])*Table1[[#This Row],[Quantity]]</f>
        <v>4074</v>
      </c>
      <c r="P44">
        <f t="shared" si="0"/>
        <v>4524</v>
      </c>
      <c r="Q44" t="str">
        <f>TEXT(Table1[[#This Row],[Order_Date]],"mmm-yyyy")</f>
        <v>May-2024</v>
      </c>
    </row>
    <row r="45" spans="1:17" x14ac:dyDescent="0.35">
      <c r="A45" t="s">
        <v>110</v>
      </c>
      <c r="B45" t="s">
        <v>111</v>
      </c>
      <c r="C45" t="s">
        <v>30</v>
      </c>
      <c r="D45" t="s">
        <v>16</v>
      </c>
      <c r="E45" t="s">
        <v>17</v>
      </c>
      <c r="F45" t="s">
        <v>34</v>
      </c>
      <c r="G45">
        <v>1</v>
      </c>
      <c r="H45">
        <v>1116</v>
      </c>
      <c r="I45" t="str">
        <f>VLOOKUP(D45,Product_Master!A:D,2,FALSE)</f>
        <v>Printer</v>
      </c>
      <c r="J45" t="str">
        <f>VLOOKUP(D45,Product_Master!A:D,3,FALSE)</f>
        <v>Electronics</v>
      </c>
      <c r="K45">
        <f>VLOOKUP(D45,Product_Master!A:D,4,FALSE)</f>
        <v>1100</v>
      </c>
      <c r="L45" t="str">
        <f>VLOOKUP(C45,Customer_Master!A:C,2,FALSE)</f>
        <v>Infosys</v>
      </c>
      <c r="M45" t="str">
        <f>VLOOKUP(C45,Customer_Master!A:C,3,FALSE)</f>
        <v>Corporate</v>
      </c>
      <c r="N45">
        <f>Table1[[#This Row],[Quantity]]*Table1[[#This Row],[Unit_Price]]</f>
        <v>1116</v>
      </c>
      <c r="O45">
        <f>(Table1[[#This Row],[Unit_Price]]-Table1[[#This Row],[Cost_Price]])*Table1[[#This Row],[Quantity]]</f>
        <v>16</v>
      </c>
      <c r="P45">
        <f t="shared" si="0"/>
        <v>1116</v>
      </c>
      <c r="Q45" t="str">
        <f>TEXT(Table1[[#This Row],[Order_Date]],"mmm-yyyy")</f>
        <v>Oct-2024</v>
      </c>
    </row>
    <row r="46" spans="1:17" x14ac:dyDescent="0.35">
      <c r="A46" t="s">
        <v>112</v>
      </c>
      <c r="B46" t="s">
        <v>113</v>
      </c>
      <c r="C46" t="s">
        <v>45</v>
      </c>
      <c r="D46" t="s">
        <v>11</v>
      </c>
      <c r="E46" t="s">
        <v>12</v>
      </c>
      <c r="F46" t="s">
        <v>18</v>
      </c>
      <c r="G46">
        <v>4</v>
      </c>
      <c r="H46">
        <v>1219</v>
      </c>
      <c r="I46" t="str">
        <f>VLOOKUP(D46,Product_Master!A:D,2,FALSE)</f>
        <v>Chair</v>
      </c>
      <c r="J46" t="str">
        <f>VLOOKUP(D46,Product_Master!A:D,3,FALSE)</f>
        <v>Furniture</v>
      </c>
      <c r="K46">
        <f>VLOOKUP(D46,Product_Master!A:D,4,FALSE)</f>
        <v>150</v>
      </c>
      <c r="L46" t="str">
        <f>VLOOKUP(C46,Customer_Master!A:C,2,FALSE)</f>
        <v>TCS</v>
      </c>
      <c r="M46" t="str">
        <f>VLOOKUP(C46,Customer_Master!A:C,3,FALSE)</f>
        <v>Corporate</v>
      </c>
      <c r="N46">
        <f>Table1[[#This Row],[Quantity]]*Table1[[#This Row],[Unit_Price]]</f>
        <v>4876</v>
      </c>
      <c r="O46">
        <f>(Table1[[#This Row],[Unit_Price]]-Table1[[#This Row],[Cost_Price]])*Table1[[#This Row],[Quantity]]</f>
        <v>4276</v>
      </c>
      <c r="P46">
        <f t="shared" si="0"/>
        <v>4876</v>
      </c>
      <c r="Q46" t="str">
        <f>TEXT(Table1[[#This Row],[Order_Date]],"mmm-yyyy")</f>
        <v>Jun-2024</v>
      </c>
    </row>
    <row r="47" spans="1:17" x14ac:dyDescent="0.35">
      <c r="A47" t="s">
        <v>114</v>
      </c>
      <c r="B47" t="s">
        <v>115</v>
      </c>
      <c r="C47" t="s">
        <v>10</v>
      </c>
      <c r="D47" t="s">
        <v>22</v>
      </c>
      <c r="E47" t="s">
        <v>17</v>
      </c>
      <c r="F47" t="s">
        <v>13</v>
      </c>
      <c r="G47">
        <v>2</v>
      </c>
      <c r="H47">
        <v>1381</v>
      </c>
      <c r="I47" t="str">
        <f>VLOOKUP(D47,Product_Master!A:D,2,FALSE)</f>
        <v>Desk</v>
      </c>
      <c r="J47" t="str">
        <f>VLOOKUP(D47,Product_Master!A:D,3,FALSE)</f>
        <v>Furniture</v>
      </c>
      <c r="K47">
        <f>VLOOKUP(D47,Product_Master!A:D,4,FALSE)</f>
        <v>300</v>
      </c>
      <c r="L47" t="str">
        <f>VLOOKUP(C47,Customer_Master!A:C,2,FALSE)</f>
        <v>Suresh</v>
      </c>
      <c r="M47" t="str">
        <f>VLOOKUP(C47,Customer_Master!A:C,3,FALSE)</f>
        <v>Consumer</v>
      </c>
      <c r="N47">
        <f>Table1[[#This Row],[Quantity]]*Table1[[#This Row],[Unit_Price]]</f>
        <v>2762</v>
      </c>
      <c r="O47">
        <f>(Table1[[#This Row],[Unit_Price]]-Table1[[#This Row],[Cost_Price]])*Table1[[#This Row],[Quantity]]</f>
        <v>2162</v>
      </c>
      <c r="P47">
        <f t="shared" si="0"/>
        <v>2762</v>
      </c>
      <c r="Q47" t="str">
        <f>TEXT(Table1[[#This Row],[Order_Date]],"mmm-yyyy")</f>
        <v>Aug-2024</v>
      </c>
    </row>
    <row r="48" spans="1:17" x14ac:dyDescent="0.35">
      <c r="A48" t="s">
        <v>116</v>
      </c>
      <c r="B48" t="s">
        <v>117</v>
      </c>
      <c r="C48" t="s">
        <v>21</v>
      </c>
      <c r="D48" t="s">
        <v>37</v>
      </c>
      <c r="E48" t="s">
        <v>17</v>
      </c>
      <c r="F48" t="s">
        <v>23</v>
      </c>
      <c r="G48">
        <v>7</v>
      </c>
      <c r="H48">
        <v>1227</v>
      </c>
      <c r="I48" t="str">
        <f>VLOOKUP(D48,Product_Master!A:D,2,FALSE)</f>
        <v>Mobile</v>
      </c>
      <c r="J48" t="str">
        <f>VLOOKUP(D48,Product_Master!A:D,3,FALSE)</f>
        <v>Electronics</v>
      </c>
      <c r="K48">
        <f>VLOOKUP(D48,Product_Master!A:D,4,FALSE)</f>
        <v>600</v>
      </c>
      <c r="L48" t="str">
        <f>VLOOKUP(C48,Customer_Master!A:C,2,FALSE)</f>
        <v>Reliance</v>
      </c>
      <c r="M48" t="str">
        <f>VLOOKUP(C48,Customer_Master!A:C,3,FALSE)</f>
        <v>Corporate</v>
      </c>
      <c r="N48">
        <f>Table1[[#This Row],[Quantity]]*Table1[[#This Row],[Unit_Price]]</f>
        <v>8589</v>
      </c>
      <c r="O48">
        <f>(Table1[[#This Row],[Unit_Price]]-Table1[[#This Row],[Cost_Price]])*Table1[[#This Row],[Quantity]]</f>
        <v>4389</v>
      </c>
      <c r="P48">
        <f t="shared" si="0"/>
        <v>8589</v>
      </c>
      <c r="Q48" t="str">
        <f>TEXT(Table1[[#This Row],[Order_Date]],"mmm-yyyy")</f>
        <v>Nov-2024</v>
      </c>
    </row>
    <row r="49" spans="1:17" x14ac:dyDescent="0.35">
      <c r="A49" t="s">
        <v>118</v>
      </c>
      <c r="B49" t="s">
        <v>119</v>
      </c>
      <c r="C49" t="s">
        <v>42</v>
      </c>
      <c r="D49" t="s">
        <v>22</v>
      </c>
      <c r="E49" t="s">
        <v>33</v>
      </c>
      <c r="F49" t="s">
        <v>18</v>
      </c>
      <c r="G49">
        <v>2</v>
      </c>
      <c r="H49">
        <v>1599</v>
      </c>
      <c r="I49" t="str">
        <f>VLOOKUP(D49,Product_Master!A:D,2,FALSE)</f>
        <v>Desk</v>
      </c>
      <c r="J49" t="str">
        <f>VLOOKUP(D49,Product_Master!A:D,3,FALSE)</f>
        <v>Furniture</v>
      </c>
      <c r="K49">
        <f>VLOOKUP(D49,Product_Master!A:D,4,FALSE)</f>
        <v>300</v>
      </c>
      <c r="L49" t="str">
        <f>VLOOKUP(C49,Customer_Master!A:C,2,FALSE)</f>
        <v>Ramesh</v>
      </c>
      <c r="M49" t="str">
        <f>VLOOKUP(C49,Customer_Master!A:C,3,FALSE)</f>
        <v>Consumer</v>
      </c>
      <c r="N49">
        <f>Table1[[#This Row],[Quantity]]*Table1[[#This Row],[Unit_Price]]</f>
        <v>3198</v>
      </c>
      <c r="O49">
        <f>(Table1[[#This Row],[Unit_Price]]-Table1[[#This Row],[Cost_Price]])*Table1[[#This Row],[Quantity]]</f>
        <v>2598</v>
      </c>
      <c r="P49">
        <f t="shared" si="0"/>
        <v>3198</v>
      </c>
      <c r="Q49" t="str">
        <f>TEXT(Table1[[#This Row],[Order_Date]],"mmm-yyyy")</f>
        <v>Jan-2024</v>
      </c>
    </row>
    <row r="50" spans="1:17" x14ac:dyDescent="0.35">
      <c r="A50" t="s">
        <v>120</v>
      </c>
      <c r="B50" t="s">
        <v>121</v>
      </c>
      <c r="C50" t="s">
        <v>21</v>
      </c>
      <c r="D50" t="s">
        <v>37</v>
      </c>
      <c r="E50" t="s">
        <v>17</v>
      </c>
      <c r="F50" t="s">
        <v>18</v>
      </c>
      <c r="G50">
        <v>9</v>
      </c>
      <c r="H50">
        <v>1984</v>
      </c>
      <c r="I50" t="str">
        <f>VLOOKUP(D50,Product_Master!A:D,2,FALSE)</f>
        <v>Mobile</v>
      </c>
      <c r="J50" t="str">
        <f>VLOOKUP(D50,Product_Master!A:D,3,FALSE)</f>
        <v>Electronics</v>
      </c>
      <c r="K50">
        <f>VLOOKUP(D50,Product_Master!A:D,4,FALSE)</f>
        <v>600</v>
      </c>
      <c r="L50" t="str">
        <f>VLOOKUP(C50,Customer_Master!A:C,2,FALSE)</f>
        <v>Reliance</v>
      </c>
      <c r="M50" t="str">
        <f>VLOOKUP(C50,Customer_Master!A:C,3,FALSE)</f>
        <v>Corporate</v>
      </c>
      <c r="N50">
        <f>Table1[[#This Row],[Quantity]]*Table1[[#This Row],[Unit_Price]]</f>
        <v>17856</v>
      </c>
      <c r="O50">
        <f>(Table1[[#This Row],[Unit_Price]]-Table1[[#This Row],[Cost_Price]])*Table1[[#This Row],[Quantity]]</f>
        <v>12456</v>
      </c>
      <c r="P50">
        <f t="shared" si="0"/>
        <v>17856</v>
      </c>
      <c r="Q50" t="str">
        <f>TEXT(Table1[[#This Row],[Order_Date]],"mmm-yyyy")</f>
        <v>Nov-2024</v>
      </c>
    </row>
    <row r="51" spans="1:17" x14ac:dyDescent="0.35">
      <c r="A51" t="s">
        <v>122</v>
      </c>
      <c r="B51" t="s">
        <v>94</v>
      </c>
      <c r="C51" t="s">
        <v>42</v>
      </c>
      <c r="D51" t="s">
        <v>16</v>
      </c>
      <c r="E51" t="s">
        <v>17</v>
      </c>
      <c r="F51" t="s">
        <v>18</v>
      </c>
      <c r="G51">
        <v>8</v>
      </c>
      <c r="H51">
        <v>1444</v>
      </c>
      <c r="I51" t="str">
        <f>VLOOKUP(D51,Product_Master!A:D,2,FALSE)</f>
        <v>Printer</v>
      </c>
      <c r="J51" t="str">
        <f>VLOOKUP(D51,Product_Master!A:D,3,FALSE)</f>
        <v>Electronics</v>
      </c>
      <c r="K51">
        <f>VLOOKUP(D51,Product_Master!A:D,4,FALSE)</f>
        <v>1100</v>
      </c>
      <c r="L51" t="str">
        <f>VLOOKUP(C51,Customer_Master!A:C,2,FALSE)</f>
        <v>Ramesh</v>
      </c>
      <c r="M51" t="str">
        <f>VLOOKUP(C51,Customer_Master!A:C,3,FALSE)</f>
        <v>Consumer</v>
      </c>
      <c r="N51">
        <f>Table1[[#This Row],[Quantity]]*Table1[[#This Row],[Unit_Price]]</f>
        <v>11552</v>
      </c>
      <c r="O51">
        <f>(Table1[[#This Row],[Unit_Price]]-Table1[[#This Row],[Cost_Price]])*Table1[[#This Row],[Quantity]]</f>
        <v>2752</v>
      </c>
      <c r="P51">
        <f t="shared" si="0"/>
        <v>11552</v>
      </c>
      <c r="Q51" t="str">
        <f>TEXT(Table1[[#This Row],[Order_Date]],"mmm-yyyy")</f>
        <v>Feb-2024</v>
      </c>
    </row>
    <row r="52" spans="1:17" x14ac:dyDescent="0.35">
      <c r="A52" t="s">
        <v>123</v>
      </c>
      <c r="B52" t="s">
        <v>124</v>
      </c>
      <c r="C52" t="s">
        <v>10</v>
      </c>
      <c r="D52" t="s">
        <v>22</v>
      </c>
      <c r="E52" t="s">
        <v>12</v>
      </c>
      <c r="F52" t="s">
        <v>34</v>
      </c>
      <c r="G52">
        <v>7</v>
      </c>
      <c r="H52">
        <v>1948</v>
      </c>
      <c r="I52" t="str">
        <f>VLOOKUP(D52,Product_Master!A:D,2,FALSE)</f>
        <v>Desk</v>
      </c>
      <c r="J52" t="str">
        <f>VLOOKUP(D52,Product_Master!A:D,3,FALSE)</f>
        <v>Furniture</v>
      </c>
      <c r="K52">
        <f>VLOOKUP(D52,Product_Master!A:D,4,FALSE)</f>
        <v>300</v>
      </c>
      <c r="L52" t="str">
        <f>VLOOKUP(C52,Customer_Master!A:C,2,FALSE)</f>
        <v>Suresh</v>
      </c>
      <c r="M52" t="str">
        <f>VLOOKUP(C52,Customer_Master!A:C,3,FALSE)</f>
        <v>Consumer</v>
      </c>
      <c r="N52">
        <f>Table1[[#This Row],[Quantity]]*Table1[[#This Row],[Unit_Price]]</f>
        <v>13636</v>
      </c>
      <c r="O52">
        <f>(Table1[[#This Row],[Unit_Price]]-Table1[[#This Row],[Cost_Price]])*Table1[[#This Row],[Quantity]]</f>
        <v>11536</v>
      </c>
      <c r="P52">
        <f t="shared" si="0"/>
        <v>13636</v>
      </c>
      <c r="Q52" t="str">
        <f>TEXT(Table1[[#This Row],[Order_Date]],"mmm-yyyy")</f>
        <v>Apr-2024</v>
      </c>
    </row>
    <row r="53" spans="1:17" x14ac:dyDescent="0.35">
      <c r="A53" t="s">
        <v>125</v>
      </c>
      <c r="B53" t="s">
        <v>126</v>
      </c>
      <c r="C53" t="s">
        <v>42</v>
      </c>
      <c r="D53" t="s">
        <v>22</v>
      </c>
      <c r="E53" t="s">
        <v>17</v>
      </c>
      <c r="F53" t="s">
        <v>34</v>
      </c>
      <c r="G53">
        <v>7</v>
      </c>
      <c r="H53">
        <v>891</v>
      </c>
      <c r="I53" t="str">
        <f>VLOOKUP(D53,Product_Master!A:D,2,FALSE)</f>
        <v>Desk</v>
      </c>
      <c r="J53" t="str">
        <f>VLOOKUP(D53,Product_Master!A:D,3,FALSE)</f>
        <v>Furniture</v>
      </c>
      <c r="K53">
        <f>VLOOKUP(D53,Product_Master!A:D,4,FALSE)</f>
        <v>300</v>
      </c>
      <c r="L53" t="str">
        <f>VLOOKUP(C53,Customer_Master!A:C,2,FALSE)</f>
        <v>Ramesh</v>
      </c>
      <c r="M53" t="str">
        <f>VLOOKUP(C53,Customer_Master!A:C,3,FALSE)</f>
        <v>Consumer</v>
      </c>
      <c r="N53">
        <f>Table1[[#This Row],[Quantity]]*Table1[[#This Row],[Unit_Price]]</f>
        <v>6237</v>
      </c>
      <c r="O53">
        <f>(Table1[[#This Row],[Unit_Price]]-Table1[[#This Row],[Cost_Price]])*Table1[[#This Row],[Quantity]]</f>
        <v>4137</v>
      </c>
      <c r="P53">
        <f t="shared" si="0"/>
        <v>6237</v>
      </c>
      <c r="Q53" t="str">
        <f>TEXT(Table1[[#This Row],[Order_Date]],"mmm-yyyy")</f>
        <v>Nov-2024</v>
      </c>
    </row>
    <row r="54" spans="1:17" x14ac:dyDescent="0.35">
      <c r="A54" t="s">
        <v>127</v>
      </c>
      <c r="B54" t="s">
        <v>128</v>
      </c>
      <c r="C54" t="s">
        <v>21</v>
      </c>
      <c r="D54" t="s">
        <v>11</v>
      </c>
      <c r="E54" t="s">
        <v>27</v>
      </c>
      <c r="F54" t="s">
        <v>13</v>
      </c>
      <c r="G54">
        <v>7</v>
      </c>
      <c r="H54">
        <v>1276</v>
      </c>
      <c r="I54" t="str">
        <f>VLOOKUP(D54,Product_Master!A:D,2,FALSE)</f>
        <v>Chair</v>
      </c>
      <c r="J54" t="str">
        <f>VLOOKUP(D54,Product_Master!A:D,3,FALSE)</f>
        <v>Furniture</v>
      </c>
      <c r="K54">
        <f>VLOOKUP(D54,Product_Master!A:D,4,FALSE)</f>
        <v>150</v>
      </c>
      <c r="L54" t="str">
        <f>VLOOKUP(C54,Customer_Master!A:C,2,FALSE)</f>
        <v>Reliance</v>
      </c>
      <c r="M54" t="str">
        <f>VLOOKUP(C54,Customer_Master!A:C,3,FALSE)</f>
        <v>Corporate</v>
      </c>
      <c r="N54">
        <f>Table1[[#This Row],[Quantity]]*Table1[[#This Row],[Unit_Price]]</f>
        <v>8932</v>
      </c>
      <c r="O54">
        <f>(Table1[[#This Row],[Unit_Price]]-Table1[[#This Row],[Cost_Price]])*Table1[[#This Row],[Quantity]]</f>
        <v>7882</v>
      </c>
      <c r="P54">
        <f t="shared" si="0"/>
        <v>8932</v>
      </c>
      <c r="Q54" t="str">
        <f>TEXT(Table1[[#This Row],[Order_Date]],"mmm-yyyy")</f>
        <v>Aug-2024</v>
      </c>
    </row>
    <row r="55" spans="1:17" x14ac:dyDescent="0.35">
      <c r="A55" t="s">
        <v>129</v>
      </c>
      <c r="B55" t="s">
        <v>130</v>
      </c>
      <c r="C55" t="s">
        <v>21</v>
      </c>
      <c r="D55" t="s">
        <v>37</v>
      </c>
      <c r="E55" t="s">
        <v>17</v>
      </c>
      <c r="F55" t="s">
        <v>34</v>
      </c>
      <c r="G55">
        <v>8</v>
      </c>
      <c r="H55">
        <v>956</v>
      </c>
      <c r="I55" t="str">
        <f>VLOOKUP(D55,Product_Master!A:D,2,FALSE)</f>
        <v>Mobile</v>
      </c>
      <c r="J55" t="str">
        <f>VLOOKUP(D55,Product_Master!A:D,3,FALSE)</f>
        <v>Electronics</v>
      </c>
      <c r="K55">
        <f>VLOOKUP(D55,Product_Master!A:D,4,FALSE)</f>
        <v>600</v>
      </c>
      <c r="L55" t="str">
        <f>VLOOKUP(C55,Customer_Master!A:C,2,FALSE)</f>
        <v>Reliance</v>
      </c>
      <c r="M55" t="str">
        <f>VLOOKUP(C55,Customer_Master!A:C,3,FALSE)</f>
        <v>Corporate</v>
      </c>
      <c r="N55">
        <f>Table1[[#This Row],[Quantity]]*Table1[[#This Row],[Unit_Price]]</f>
        <v>7648</v>
      </c>
      <c r="O55">
        <f>(Table1[[#This Row],[Unit_Price]]-Table1[[#This Row],[Cost_Price]])*Table1[[#This Row],[Quantity]]</f>
        <v>2848</v>
      </c>
      <c r="P55">
        <f t="shared" si="0"/>
        <v>7648</v>
      </c>
      <c r="Q55" t="str">
        <f>TEXT(Table1[[#This Row],[Order_Date]],"mmm-yyyy")</f>
        <v>May-2024</v>
      </c>
    </row>
    <row r="56" spans="1:17" x14ac:dyDescent="0.35">
      <c r="A56" t="s">
        <v>131</v>
      </c>
      <c r="B56" t="s">
        <v>132</v>
      </c>
      <c r="C56" t="s">
        <v>10</v>
      </c>
      <c r="D56" t="s">
        <v>22</v>
      </c>
      <c r="E56" t="s">
        <v>12</v>
      </c>
      <c r="F56" t="s">
        <v>23</v>
      </c>
      <c r="G56">
        <v>2</v>
      </c>
      <c r="H56">
        <v>1939</v>
      </c>
      <c r="I56" t="str">
        <f>VLOOKUP(D56,Product_Master!A:D,2,FALSE)</f>
        <v>Desk</v>
      </c>
      <c r="J56" t="str">
        <f>VLOOKUP(D56,Product_Master!A:D,3,FALSE)</f>
        <v>Furniture</v>
      </c>
      <c r="K56">
        <f>VLOOKUP(D56,Product_Master!A:D,4,FALSE)</f>
        <v>300</v>
      </c>
      <c r="L56" t="str">
        <f>VLOOKUP(C56,Customer_Master!A:C,2,FALSE)</f>
        <v>Suresh</v>
      </c>
      <c r="M56" t="str">
        <f>VLOOKUP(C56,Customer_Master!A:C,3,FALSE)</f>
        <v>Consumer</v>
      </c>
      <c r="N56">
        <f>Table1[[#This Row],[Quantity]]*Table1[[#This Row],[Unit_Price]]</f>
        <v>3878</v>
      </c>
      <c r="O56">
        <f>(Table1[[#This Row],[Unit_Price]]-Table1[[#This Row],[Cost_Price]])*Table1[[#This Row],[Quantity]]</f>
        <v>3278</v>
      </c>
      <c r="P56">
        <f t="shared" si="0"/>
        <v>3878</v>
      </c>
      <c r="Q56" t="str">
        <f>TEXT(Table1[[#This Row],[Order_Date]],"mmm-yyyy")</f>
        <v>May-2024</v>
      </c>
    </row>
    <row r="57" spans="1:17" x14ac:dyDescent="0.35">
      <c r="A57" t="s">
        <v>133</v>
      </c>
      <c r="B57" t="s">
        <v>100</v>
      </c>
      <c r="C57" t="s">
        <v>10</v>
      </c>
      <c r="D57" t="s">
        <v>16</v>
      </c>
      <c r="E57" t="s">
        <v>27</v>
      </c>
      <c r="F57" t="s">
        <v>13</v>
      </c>
      <c r="G57">
        <v>7</v>
      </c>
      <c r="H57">
        <v>1185</v>
      </c>
      <c r="I57" t="str">
        <f>VLOOKUP(D57,Product_Master!A:D,2,FALSE)</f>
        <v>Printer</v>
      </c>
      <c r="J57" t="str">
        <f>VLOOKUP(D57,Product_Master!A:D,3,FALSE)</f>
        <v>Electronics</v>
      </c>
      <c r="K57">
        <f>VLOOKUP(D57,Product_Master!A:D,4,FALSE)</f>
        <v>1100</v>
      </c>
      <c r="L57" t="str">
        <f>VLOOKUP(C57,Customer_Master!A:C,2,FALSE)</f>
        <v>Suresh</v>
      </c>
      <c r="M57" t="str">
        <f>VLOOKUP(C57,Customer_Master!A:C,3,FALSE)</f>
        <v>Consumer</v>
      </c>
      <c r="N57">
        <f>Table1[[#This Row],[Quantity]]*Table1[[#This Row],[Unit_Price]]</f>
        <v>8295</v>
      </c>
      <c r="O57">
        <f>(Table1[[#This Row],[Unit_Price]]-Table1[[#This Row],[Cost_Price]])*Table1[[#This Row],[Quantity]]</f>
        <v>595</v>
      </c>
      <c r="P57">
        <f t="shared" si="0"/>
        <v>8295</v>
      </c>
      <c r="Q57" t="str">
        <f>TEXT(Table1[[#This Row],[Order_Date]],"mmm-yyyy")</f>
        <v>Nov-2024</v>
      </c>
    </row>
    <row r="58" spans="1:17" x14ac:dyDescent="0.35">
      <c r="A58" t="s">
        <v>134</v>
      </c>
      <c r="B58" t="s">
        <v>135</v>
      </c>
      <c r="C58" t="s">
        <v>30</v>
      </c>
      <c r="D58" t="s">
        <v>37</v>
      </c>
      <c r="E58" t="s">
        <v>17</v>
      </c>
      <c r="F58" t="s">
        <v>18</v>
      </c>
      <c r="G58">
        <v>9</v>
      </c>
      <c r="H58">
        <v>1320</v>
      </c>
      <c r="I58" t="str">
        <f>VLOOKUP(D58,Product_Master!A:D,2,FALSE)</f>
        <v>Mobile</v>
      </c>
      <c r="J58" t="str">
        <f>VLOOKUP(D58,Product_Master!A:D,3,FALSE)</f>
        <v>Electronics</v>
      </c>
      <c r="K58">
        <f>VLOOKUP(D58,Product_Master!A:D,4,FALSE)</f>
        <v>600</v>
      </c>
      <c r="L58" t="str">
        <f>VLOOKUP(C58,Customer_Master!A:C,2,FALSE)</f>
        <v>Infosys</v>
      </c>
      <c r="M58" t="str">
        <f>VLOOKUP(C58,Customer_Master!A:C,3,FALSE)</f>
        <v>Corporate</v>
      </c>
      <c r="N58">
        <f>Table1[[#This Row],[Quantity]]*Table1[[#This Row],[Unit_Price]]</f>
        <v>11880</v>
      </c>
      <c r="O58">
        <f>(Table1[[#This Row],[Unit_Price]]-Table1[[#This Row],[Cost_Price]])*Table1[[#This Row],[Quantity]]</f>
        <v>6480</v>
      </c>
      <c r="P58">
        <f t="shared" si="0"/>
        <v>11880</v>
      </c>
      <c r="Q58" t="str">
        <f>TEXT(Table1[[#This Row],[Order_Date]],"mmm-yyyy")</f>
        <v>Jul-2024</v>
      </c>
    </row>
    <row r="59" spans="1:17" x14ac:dyDescent="0.35">
      <c r="A59" t="s">
        <v>136</v>
      </c>
      <c r="B59" t="s">
        <v>137</v>
      </c>
      <c r="C59" t="s">
        <v>42</v>
      </c>
      <c r="D59" t="s">
        <v>37</v>
      </c>
      <c r="E59" t="s">
        <v>33</v>
      </c>
      <c r="F59" t="s">
        <v>23</v>
      </c>
      <c r="G59">
        <v>9</v>
      </c>
      <c r="H59">
        <v>1655</v>
      </c>
      <c r="I59" t="str">
        <f>VLOOKUP(D59,Product_Master!A:D,2,FALSE)</f>
        <v>Mobile</v>
      </c>
      <c r="J59" t="str">
        <f>VLOOKUP(D59,Product_Master!A:D,3,FALSE)</f>
        <v>Electronics</v>
      </c>
      <c r="K59">
        <f>VLOOKUP(D59,Product_Master!A:D,4,FALSE)</f>
        <v>600</v>
      </c>
      <c r="L59" t="str">
        <f>VLOOKUP(C59,Customer_Master!A:C,2,FALSE)</f>
        <v>Ramesh</v>
      </c>
      <c r="M59" t="str">
        <f>VLOOKUP(C59,Customer_Master!A:C,3,FALSE)</f>
        <v>Consumer</v>
      </c>
      <c r="N59">
        <f>Table1[[#This Row],[Quantity]]*Table1[[#This Row],[Unit_Price]]</f>
        <v>14895</v>
      </c>
      <c r="O59">
        <f>(Table1[[#This Row],[Unit_Price]]-Table1[[#This Row],[Cost_Price]])*Table1[[#This Row],[Quantity]]</f>
        <v>9495</v>
      </c>
      <c r="P59">
        <f t="shared" si="0"/>
        <v>14895</v>
      </c>
      <c r="Q59" t="str">
        <f>TEXT(Table1[[#This Row],[Order_Date]],"mmm-yyyy")</f>
        <v>Oct-2024</v>
      </c>
    </row>
    <row r="60" spans="1:17" x14ac:dyDescent="0.35">
      <c r="A60" t="s">
        <v>138</v>
      </c>
      <c r="B60" t="s">
        <v>139</v>
      </c>
      <c r="C60" t="s">
        <v>21</v>
      </c>
      <c r="D60" t="s">
        <v>26</v>
      </c>
      <c r="E60" t="s">
        <v>33</v>
      </c>
      <c r="F60" t="s">
        <v>23</v>
      </c>
      <c r="G60">
        <v>10</v>
      </c>
      <c r="H60">
        <v>906</v>
      </c>
      <c r="I60" t="str">
        <f>VLOOKUP(D60,Product_Master!A:D,2,FALSE)</f>
        <v>Laptop</v>
      </c>
      <c r="J60" t="str">
        <f>VLOOKUP(D60,Product_Master!A:D,3,FALSE)</f>
        <v>Electronics</v>
      </c>
      <c r="K60">
        <f>VLOOKUP(D60,Product_Master!A:D,4,FALSE)</f>
        <v>900</v>
      </c>
      <c r="L60" t="str">
        <f>VLOOKUP(C60,Customer_Master!A:C,2,FALSE)</f>
        <v>Reliance</v>
      </c>
      <c r="M60" t="str">
        <f>VLOOKUP(C60,Customer_Master!A:C,3,FALSE)</f>
        <v>Corporate</v>
      </c>
      <c r="N60">
        <f>Table1[[#This Row],[Quantity]]*Table1[[#This Row],[Unit_Price]]</f>
        <v>9060</v>
      </c>
      <c r="O60">
        <f>(Table1[[#This Row],[Unit_Price]]-Table1[[#This Row],[Cost_Price]])*Table1[[#This Row],[Quantity]]</f>
        <v>60</v>
      </c>
      <c r="P60">
        <f t="shared" si="0"/>
        <v>9060</v>
      </c>
      <c r="Q60" t="str">
        <f>TEXT(Table1[[#This Row],[Order_Date]],"mmm-yyyy")</f>
        <v>Jun-2024</v>
      </c>
    </row>
    <row r="61" spans="1:17" x14ac:dyDescent="0.35">
      <c r="A61" t="s">
        <v>140</v>
      </c>
      <c r="B61" t="s">
        <v>141</v>
      </c>
      <c r="C61" t="s">
        <v>30</v>
      </c>
      <c r="D61" t="s">
        <v>16</v>
      </c>
      <c r="E61" t="s">
        <v>27</v>
      </c>
      <c r="F61" t="s">
        <v>34</v>
      </c>
      <c r="G61">
        <v>4</v>
      </c>
      <c r="H61">
        <v>1638</v>
      </c>
      <c r="I61" t="str">
        <f>VLOOKUP(D61,Product_Master!A:D,2,FALSE)</f>
        <v>Printer</v>
      </c>
      <c r="J61" t="str">
        <f>VLOOKUP(D61,Product_Master!A:D,3,FALSE)</f>
        <v>Electronics</v>
      </c>
      <c r="K61">
        <f>VLOOKUP(D61,Product_Master!A:D,4,FALSE)</f>
        <v>1100</v>
      </c>
      <c r="L61" t="str">
        <f>VLOOKUP(C61,Customer_Master!A:C,2,FALSE)</f>
        <v>Infosys</v>
      </c>
      <c r="M61" t="str">
        <f>VLOOKUP(C61,Customer_Master!A:C,3,FALSE)</f>
        <v>Corporate</v>
      </c>
      <c r="N61">
        <f>Table1[[#This Row],[Quantity]]*Table1[[#This Row],[Unit_Price]]</f>
        <v>6552</v>
      </c>
      <c r="O61">
        <f>(Table1[[#This Row],[Unit_Price]]-Table1[[#This Row],[Cost_Price]])*Table1[[#This Row],[Quantity]]</f>
        <v>2152</v>
      </c>
      <c r="P61">
        <f t="shared" si="0"/>
        <v>6552</v>
      </c>
      <c r="Q61" t="str">
        <f>TEXT(Table1[[#This Row],[Order_Date]],"mmm-yyyy")</f>
        <v>Jan-2024</v>
      </c>
    </row>
    <row r="62" spans="1:17" x14ac:dyDescent="0.35">
      <c r="A62" t="s">
        <v>142</v>
      </c>
      <c r="B62" t="s">
        <v>143</v>
      </c>
      <c r="C62" t="s">
        <v>30</v>
      </c>
      <c r="D62" t="s">
        <v>22</v>
      </c>
      <c r="E62" t="s">
        <v>27</v>
      </c>
      <c r="F62" t="s">
        <v>13</v>
      </c>
      <c r="G62">
        <v>10</v>
      </c>
      <c r="H62">
        <v>1308</v>
      </c>
      <c r="I62" t="str">
        <f>VLOOKUP(D62,Product_Master!A:D,2,FALSE)</f>
        <v>Desk</v>
      </c>
      <c r="J62" t="str">
        <f>VLOOKUP(D62,Product_Master!A:D,3,FALSE)</f>
        <v>Furniture</v>
      </c>
      <c r="K62">
        <f>VLOOKUP(D62,Product_Master!A:D,4,FALSE)</f>
        <v>300</v>
      </c>
      <c r="L62" t="str">
        <f>VLOOKUP(C62,Customer_Master!A:C,2,FALSE)</f>
        <v>Infosys</v>
      </c>
      <c r="M62" t="str">
        <f>VLOOKUP(C62,Customer_Master!A:C,3,FALSE)</f>
        <v>Corporate</v>
      </c>
      <c r="N62">
        <f>Table1[[#This Row],[Quantity]]*Table1[[#This Row],[Unit_Price]]</f>
        <v>13080</v>
      </c>
      <c r="O62">
        <f>(Table1[[#This Row],[Unit_Price]]-Table1[[#This Row],[Cost_Price]])*Table1[[#This Row],[Quantity]]</f>
        <v>10080</v>
      </c>
      <c r="P62">
        <f t="shared" si="0"/>
        <v>13080</v>
      </c>
      <c r="Q62" t="str">
        <f>TEXT(Table1[[#This Row],[Order_Date]],"mmm-yyyy")</f>
        <v>May-2024</v>
      </c>
    </row>
    <row r="63" spans="1:17" x14ac:dyDescent="0.35">
      <c r="A63" t="s">
        <v>144</v>
      </c>
      <c r="B63" t="s">
        <v>145</v>
      </c>
      <c r="C63" t="s">
        <v>45</v>
      </c>
      <c r="D63" t="s">
        <v>11</v>
      </c>
      <c r="E63" t="s">
        <v>12</v>
      </c>
      <c r="F63" t="s">
        <v>23</v>
      </c>
      <c r="G63">
        <v>4</v>
      </c>
      <c r="H63">
        <v>1434</v>
      </c>
      <c r="I63" t="str">
        <f>VLOOKUP(D63,Product_Master!A:D,2,FALSE)</f>
        <v>Chair</v>
      </c>
      <c r="J63" t="str">
        <f>VLOOKUP(D63,Product_Master!A:D,3,FALSE)</f>
        <v>Furniture</v>
      </c>
      <c r="K63">
        <f>VLOOKUP(D63,Product_Master!A:D,4,FALSE)</f>
        <v>150</v>
      </c>
      <c r="L63" t="str">
        <f>VLOOKUP(C63,Customer_Master!A:C,2,FALSE)</f>
        <v>TCS</v>
      </c>
      <c r="M63" t="str">
        <f>VLOOKUP(C63,Customer_Master!A:C,3,FALSE)</f>
        <v>Corporate</v>
      </c>
      <c r="N63">
        <f>Table1[[#This Row],[Quantity]]*Table1[[#This Row],[Unit_Price]]</f>
        <v>5736</v>
      </c>
      <c r="O63">
        <f>(Table1[[#This Row],[Unit_Price]]-Table1[[#This Row],[Cost_Price]])*Table1[[#This Row],[Quantity]]</f>
        <v>5136</v>
      </c>
      <c r="P63">
        <f t="shared" si="0"/>
        <v>5736</v>
      </c>
      <c r="Q63" t="str">
        <f>TEXT(Table1[[#This Row],[Order_Date]],"mmm-yyyy")</f>
        <v>Feb-2024</v>
      </c>
    </row>
    <row r="64" spans="1:17" x14ac:dyDescent="0.35">
      <c r="A64" t="s">
        <v>146</v>
      </c>
      <c r="B64" t="s">
        <v>147</v>
      </c>
      <c r="C64" t="s">
        <v>45</v>
      </c>
      <c r="D64" t="s">
        <v>16</v>
      </c>
      <c r="E64" t="s">
        <v>12</v>
      </c>
      <c r="F64" t="s">
        <v>13</v>
      </c>
      <c r="G64">
        <v>8</v>
      </c>
      <c r="H64">
        <v>1463</v>
      </c>
      <c r="I64" t="str">
        <f>VLOOKUP(D64,Product_Master!A:D,2,FALSE)</f>
        <v>Printer</v>
      </c>
      <c r="J64" t="str">
        <f>VLOOKUP(D64,Product_Master!A:D,3,FALSE)</f>
        <v>Electronics</v>
      </c>
      <c r="K64">
        <f>VLOOKUP(D64,Product_Master!A:D,4,FALSE)</f>
        <v>1100</v>
      </c>
      <c r="L64" t="str">
        <f>VLOOKUP(C64,Customer_Master!A:C,2,FALSE)</f>
        <v>TCS</v>
      </c>
      <c r="M64" t="str">
        <f>VLOOKUP(C64,Customer_Master!A:C,3,FALSE)</f>
        <v>Corporate</v>
      </c>
      <c r="N64">
        <f>Table1[[#This Row],[Quantity]]*Table1[[#This Row],[Unit_Price]]</f>
        <v>11704</v>
      </c>
      <c r="O64">
        <f>(Table1[[#This Row],[Unit_Price]]-Table1[[#This Row],[Cost_Price]])*Table1[[#This Row],[Quantity]]</f>
        <v>2904</v>
      </c>
      <c r="P64">
        <f t="shared" si="0"/>
        <v>11704</v>
      </c>
      <c r="Q64" t="str">
        <f>TEXT(Table1[[#This Row],[Order_Date]],"mmm-yyyy")</f>
        <v>May-2024</v>
      </c>
    </row>
    <row r="65" spans="1:17" x14ac:dyDescent="0.35">
      <c r="A65" t="s">
        <v>148</v>
      </c>
      <c r="B65" t="s">
        <v>149</v>
      </c>
      <c r="C65" t="s">
        <v>10</v>
      </c>
      <c r="D65" t="s">
        <v>16</v>
      </c>
      <c r="E65" t="s">
        <v>33</v>
      </c>
      <c r="F65" t="s">
        <v>13</v>
      </c>
      <c r="G65">
        <v>1</v>
      </c>
      <c r="H65">
        <v>1206</v>
      </c>
      <c r="I65" t="str">
        <f>VLOOKUP(D65,Product_Master!A:D,2,FALSE)</f>
        <v>Printer</v>
      </c>
      <c r="J65" t="str">
        <f>VLOOKUP(D65,Product_Master!A:D,3,FALSE)</f>
        <v>Electronics</v>
      </c>
      <c r="K65">
        <f>VLOOKUP(D65,Product_Master!A:D,4,FALSE)</f>
        <v>1100</v>
      </c>
      <c r="L65" t="str">
        <f>VLOOKUP(C65,Customer_Master!A:C,2,FALSE)</f>
        <v>Suresh</v>
      </c>
      <c r="M65" t="str">
        <f>VLOOKUP(C65,Customer_Master!A:C,3,FALSE)</f>
        <v>Consumer</v>
      </c>
      <c r="N65">
        <f>Table1[[#This Row],[Quantity]]*Table1[[#This Row],[Unit_Price]]</f>
        <v>1206</v>
      </c>
      <c r="O65">
        <f>(Table1[[#This Row],[Unit_Price]]-Table1[[#This Row],[Cost_Price]])*Table1[[#This Row],[Quantity]]</f>
        <v>106</v>
      </c>
      <c r="P65">
        <f t="shared" si="0"/>
        <v>1206</v>
      </c>
      <c r="Q65" t="str">
        <f>TEXT(Table1[[#This Row],[Order_Date]],"mmm-yyyy")</f>
        <v>Jan-2024</v>
      </c>
    </row>
    <row r="66" spans="1:17" x14ac:dyDescent="0.35">
      <c r="A66" t="s">
        <v>150</v>
      </c>
      <c r="B66" t="s">
        <v>151</v>
      </c>
      <c r="C66" t="s">
        <v>45</v>
      </c>
      <c r="D66" t="s">
        <v>22</v>
      </c>
      <c r="E66" t="s">
        <v>17</v>
      </c>
      <c r="F66" t="s">
        <v>23</v>
      </c>
      <c r="G66">
        <v>6</v>
      </c>
      <c r="H66">
        <v>880</v>
      </c>
      <c r="I66" t="str">
        <f>VLOOKUP(D66,Product_Master!A:D,2,FALSE)</f>
        <v>Desk</v>
      </c>
      <c r="J66" t="str">
        <f>VLOOKUP(D66,Product_Master!A:D,3,FALSE)</f>
        <v>Furniture</v>
      </c>
      <c r="K66">
        <f>VLOOKUP(D66,Product_Master!A:D,4,FALSE)</f>
        <v>300</v>
      </c>
      <c r="L66" t="str">
        <f>VLOOKUP(C66,Customer_Master!A:C,2,FALSE)</f>
        <v>TCS</v>
      </c>
      <c r="M66" t="str">
        <f>VLOOKUP(C66,Customer_Master!A:C,3,FALSE)</f>
        <v>Corporate</v>
      </c>
      <c r="N66">
        <f>Table1[[#This Row],[Quantity]]*Table1[[#This Row],[Unit_Price]]</f>
        <v>5280</v>
      </c>
      <c r="O66">
        <f>(Table1[[#This Row],[Unit_Price]]-Table1[[#This Row],[Cost_Price]])*Table1[[#This Row],[Quantity]]</f>
        <v>3480</v>
      </c>
      <c r="P66">
        <f t="shared" ref="P66:P129" si="1">VALUE(N66)</f>
        <v>5280</v>
      </c>
      <c r="Q66" t="str">
        <f>TEXT(Table1[[#This Row],[Order_Date]],"mmm-yyyy")</f>
        <v>Oct-2024</v>
      </c>
    </row>
    <row r="67" spans="1:17" x14ac:dyDescent="0.35">
      <c r="A67" t="s">
        <v>152</v>
      </c>
      <c r="B67" t="s">
        <v>153</v>
      </c>
      <c r="C67" t="s">
        <v>21</v>
      </c>
      <c r="D67" t="s">
        <v>22</v>
      </c>
      <c r="E67" t="s">
        <v>27</v>
      </c>
      <c r="F67" t="s">
        <v>18</v>
      </c>
      <c r="G67">
        <v>5</v>
      </c>
      <c r="H67">
        <v>1444</v>
      </c>
      <c r="I67" t="str">
        <f>VLOOKUP(D67,Product_Master!A:D,2,FALSE)</f>
        <v>Desk</v>
      </c>
      <c r="J67" t="str">
        <f>VLOOKUP(D67,Product_Master!A:D,3,FALSE)</f>
        <v>Furniture</v>
      </c>
      <c r="K67">
        <f>VLOOKUP(D67,Product_Master!A:D,4,FALSE)</f>
        <v>300</v>
      </c>
      <c r="L67" t="str">
        <f>VLOOKUP(C67,Customer_Master!A:C,2,FALSE)</f>
        <v>Reliance</v>
      </c>
      <c r="M67" t="str">
        <f>VLOOKUP(C67,Customer_Master!A:C,3,FALSE)</f>
        <v>Corporate</v>
      </c>
      <c r="N67">
        <f>Table1[[#This Row],[Quantity]]*Table1[[#This Row],[Unit_Price]]</f>
        <v>7220</v>
      </c>
      <c r="O67">
        <f>(Table1[[#This Row],[Unit_Price]]-Table1[[#This Row],[Cost_Price]])*Table1[[#This Row],[Quantity]]</f>
        <v>5720</v>
      </c>
      <c r="P67">
        <f t="shared" si="1"/>
        <v>7220</v>
      </c>
      <c r="Q67" t="str">
        <f>TEXT(Table1[[#This Row],[Order_Date]],"mmm-yyyy")</f>
        <v>Oct-2024</v>
      </c>
    </row>
    <row r="68" spans="1:17" x14ac:dyDescent="0.35">
      <c r="A68" t="s">
        <v>154</v>
      </c>
      <c r="B68" t="s">
        <v>139</v>
      </c>
      <c r="C68" t="s">
        <v>10</v>
      </c>
      <c r="D68" t="s">
        <v>37</v>
      </c>
      <c r="E68" t="s">
        <v>17</v>
      </c>
      <c r="F68" t="s">
        <v>34</v>
      </c>
      <c r="G68">
        <v>1</v>
      </c>
      <c r="H68">
        <v>1122</v>
      </c>
      <c r="I68" t="str">
        <f>VLOOKUP(D68,Product_Master!A:D,2,FALSE)</f>
        <v>Mobile</v>
      </c>
      <c r="J68" t="str">
        <f>VLOOKUP(D68,Product_Master!A:D,3,FALSE)</f>
        <v>Electronics</v>
      </c>
      <c r="K68">
        <f>VLOOKUP(D68,Product_Master!A:D,4,FALSE)</f>
        <v>600</v>
      </c>
      <c r="L68" t="str">
        <f>VLOOKUP(C68,Customer_Master!A:C,2,FALSE)</f>
        <v>Suresh</v>
      </c>
      <c r="M68" t="str">
        <f>VLOOKUP(C68,Customer_Master!A:C,3,FALSE)</f>
        <v>Consumer</v>
      </c>
      <c r="N68">
        <f>Table1[[#This Row],[Quantity]]*Table1[[#This Row],[Unit_Price]]</f>
        <v>1122</v>
      </c>
      <c r="O68">
        <f>(Table1[[#This Row],[Unit_Price]]-Table1[[#This Row],[Cost_Price]])*Table1[[#This Row],[Quantity]]</f>
        <v>522</v>
      </c>
      <c r="P68">
        <f t="shared" si="1"/>
        <v>1122</v>
      </c>
      <c r="Q68" t="str">
        <f>TEXT(Table1[[#This Row],[Order_Date]],"mmm-yyyy")</f>
        <v>Jun-2024</v>
      </c>
    </row>
    <row r="69" spans="1:17" x14ac:dyDescent="0.35">
      <c r="A69" t="s">
        <v>155</v>
      </c>
      <c r="B69" t="s">
        <v>156</v>
      </c>
      <c r="C69" t="s">
        <v>42</v>
      </c>
      <c r="D69" t="s">
        <v>11</v>
      </c>
      <c r="E69" t="s">
        <v>17</v>
      </c>
      <c r="F69" t="s">
        <v>18</v>
      </c>
      <c r="G69">
        <v>6</v>
      </c>
      <c r="H69">
        <v>912</v>
      </c>
      <c r="I69" t="str">
        <f>VLOOKUP(D69,Product_Master!A:D,2,FALSE)</f>
        <v>Chair</v>
      </c>
      <c r="J69" t="str">
        <f>VLOOKUP(D69,Product_Master!A:D,3,FALSE)</f>
        <v>Furniture</v>
      </c>
      <c r="K69">
        <f>VLOOKUP(D69,Product_Master!A:D,4,FALSE)</f>
        <v>150</v>
      </c>
      <c r="L69" t="str">
        <f>VLOOKUP(C69,Customer_Master!A:C,2,FALSE)</f>
        <v>Ramesh</v>
      </c>
      <c r="M69" t="str">
        <f>VLOOKUP(C69,Customer_Master!A:C,3,FALSE)</f>
        <v>Consumer</v>
      </c>
      <c r="N69">
        <f>Table1[[#This Row],[Quantity]]*Table1[[#This Row],[Unit_Price]]</f>
        <v>5472</v>
      </c>
      <c r="O69">
        <f>(Table1[[#This Row],[Unit_Price]]-Table1[[#This Row],[Cost_Price]])*Table1[[#This Row],[Quantity]]</f>
        <v>4572</v>
      </c>
      <c r="P69">
        <f t="shared" si="1"/>
        <v>5472</v>
      </c>
      <c r="Q69" t="str">
        <f>TEXT(Table1[[#This Row],[Order_Date]],"mmm-yyyy")</f>
        <v>Jun-2024</v>
      </c>
    </row>
    <row r="70" spans="1:17" x14ac:dyDescent="0.35">
      <c r="A70" t="s">
        <v>157</v>
      </c>
      <c r="B70" t="s">
        <v>158</v>
      </c>
      <c r="C70" t="s">
        <v>10</v>
      </c>
      <c r="D70" t="s">
        <v>37</v>
      </c>
      <c r="E70" t="s">
        <v>17</v>
      </c>
      <c r="F70" t="s">
        <v>34</v>
      </c>
      <c r="G70">
        <v>5</v>
      </c>
      <c r="H70">
        <v>1349</v>
      </c>
      <c r="I70" t="str">
        <f>VLOOKUP(D70,Product_Master!A:D,2,FALSE)</f>
        <v>Mobile</v>
      </c>
      <c r="J70" t="str">
        <f>VLOOKUP(D70,Product_Master!A:D,3,FALSE)</f>
        <v>Electronics</v>
      </c>
      <c r="K70">
        <f>VLOOKUP(D70,Product_Master!A:D,4,FALSE)</f>
        <v>600</v>
      </c>
      <c r="L70" t="str">
        <f>VLOOKUP(C70,Customer_Master!A:C,2,FALSE)</f>
        <v>Suresh</v>
      </c>
      <c r="M70" t="str">
        <f>VLOOKUP(C70,Customer_Master!A:C,3,FALSE)</f>
        <v>Consumer</v>
      </c>
      <c r="N70">
        <f>Table1[[#This Row],[Quantity]]*Table1[[#This Row],[Unit_Price]]</f>
        <v>6745</v>
      </c>
      <c r="O70">
        <f>(Table1[[#This Row],[Unit_Price]]-Table1[[#This Row],[Cost_Price]])*Table1[[#This Row],[Quantity]]</f>
        <v>3745</v>
      </c>
      <c r="P70">
        <f t="shared" si="1"/>
        <v>6745</v>
      </c>
      <c r="Q70" t="str">
        <f>TEXT(Table1[[#This Row],[Order_Date]],"mmm-yyyy")</f>
        <v>Mar-2024</v>
      </c>
    </row>
    <row r="71" spans="1:17" x14ac:dyDescent="0.35">
      <c r="A71" t="s">
        <v>159</v>
      </c>
      <c r="B71" t="s">
        <v>98</v>
      </c>
      <c r="C71" t="s">
        <v>30</v>
      </c>
      <c r="D71" t="s">
        <v>16</v>
      </c>
      <c r="E71" t="s">
        <v>17</v>
      </c>
      <c r="F71" t="s">
        <v>34</v>
      </c>
      <c r="G71">
        <v>6</v>
      </c>
      <c r="H71">
        <v>1614</v>
      </c>
      <c r="I71" t="str">
        <f>VLOOKUP(D71,Product_Master!A:D,2,FALSE)</f>
        <v>Printer</v>
      </c>
      <c r="J71" t="str">
        <f>VLOOKUP(D71,Product_Master!A:D,3,FALSE)</f>
        <v>Electronics</v>
      </c>
      <c r="K71">
        <f>VLOOKUP(D71,Product_Master!A:D,4,FALSE)</f>
        <v>1100</v>
      </c>
      <c r="L71" t="str">
        <f>VLOOKUP(C71,Customer_Master!A:C,2,FALSE)</f>
        <v>Infosys</v>
      </c>
      <c r="M71" t="str">
        <f>VLOOKUP(C71,Customer_Master!A:C,3,FALSE)</f>
        <v>Corporate</v>
      </c>
      <c r="N71">
        <f>Table1[[#This Row],[Quantity]]*Table1[[#This Row],[Unit_Price]]</f>
        <v>9684</v>
      </c>
      <c r="O71">
        <f>(Table1[[#This Row],[Unit_Price]]-Table1[[#This Row],[Cost_Price]])*Table1[[#This Row],[Quantity]]</f>
        <v>3084</v>
      </c>
      <c r="P71">
        <f t="shared" si="1"/>
        <v>9684</v>
      </c>
      <c r="Q71" t="str">
        <f>TEXT(Table1[[#This Row],[Order_Date]],"mmm-yyyy")</f>
        <v>Nov-2024</v>
      </c>
    </row>
    <row r="72" spans="1:17" x14ac:dyDescent="0.35">
      <c r="A72" t="s">
        <v>160</v>
      </c>
      <c r="B72" t="s">
        <v>161</v>
      </c>
      <c r="C72" t="s">
        <v>30</v>
      </c>
      <c r="D72" t="s">
        <v>22</v>
      </c>
      <c r="E72" t="s">
        <v>33</v>
      </c>
      <c r="F72" t="s">
        <v>23</v>
      </c>
      <c r="G72">
        <v>5</v>
      </c>
      <c r="H72">
        <v>1764</v>
      </c>
      <c r="I72" t="str">
        <f>VLOOKUP(D72,Product_Master!A:D,2,FALSE)</f>
        <v>Desk</v>
      </c>
      <c r="J72" t="str">
        <f>VLOOKUP(D72,Product_Master!A:D,3,FALSE)</f>
        <v>Furniture</v>
      </c>
      <c r="K72">
        <f>VLOOKUP(D72,Product_Master!A:D,4,FALSE)</f>
        <v>300</v>
      </c>
      <c r="L72" t="str">
        <f>VLOOKUP(C72,Customer_Master!A:C,2,FALSE)</f>
        <v>Infosys</v>
      </c>
      <c r="M72" t="str">
        <f>VLOOKUP(C72,Customer_Master!A:C,3,FALSE)</f>
        <v>Corporate</v>
      </c>
      <c r="N72">
        <f>Table1[[#This Row],[Quantity]]*Table1[[#This Row],[Unit_Price]]</f>
        <v>8820</v>
      </c>
      <c r="O72">
        <f>(Table1[[#This Row],[Unit_Price]]-Table1[[#This Row],[Cost_Price]])*Table1[[#This Row],[Quantity]]</f>
        <v>7320</v>
      </c>
      <c r="P72">
        <f t="shared" si="1"/>
        <v>8820</v>
      </c>
      <c r="Q72" t="str">
        <f>TEXT(Table1[[#This Row],[Order_Date]],"mmm-yyyy")</f>
        <v>Jun-2024</v>
      </c>
    </row>
    <row r="73" spans="1:17" x14ac:dyDescent="0.35">
      <c r="A73" t="s">
        <v>162</v>
      </c>
      <c r="B73" t="s">
        <v>163</v>
      </c>
      <c r="C73" t="s">
        <v>10</v>
      </c>
      <c r="D73" t="s">
        <v>37</v>
      </c>
      <c r="E73" t="s">
        <v>12</v>
      </c>
      <c r="F73" t="s">
        <v>34</v>
      </c>
      <c r="G73">
        <v>5</v>
      </c>
      <c r="H73">
        <v>1710</v>
      </c>
      <c r="I73" t="str">
        <f>VLOOKUP(D73,Product_Master!A:D,2,FALSE)</f>
        <v>Mobile</v>
      </c>
      <c r="J73" t="str">
        <f>VLOOKUP(D73,Product_Master!A:D,3,FALSE)</f>
        <v>Electronics</v>
      </c>
      <c r="K73">
        <f>VLOOKUP(D73,Product_Master!A:D,4,FALSE)</f>
        <v>600</v>
      </c>
      <c r="L73" t="str">
        <f>VLOOKUP(C73,Customer_Master!A:C,2,FALSE)</f>
        <v>Suresh</v>
      </c>
      <c r="M73" t="str">
        <f>VLOOKUP(C73,Customer_Master!A:C,3,FALSE)</f>
        <v>Consumer</v>
      </c>
      <c r="N73">
        <f>Table1[[#This Row],[Quantity]]*Table1[[#This Row],[Unit_Price]]</f>
        <v>8550</v>
      </c>
      <c r="O73">
        <f>(Table1[[#This Row],[Unit_Price]]-Table1[[#This Row],[Cost_Price]])*Table1[[#This Row],[Quantity]]</f>
        <v>5550</v>
      </c>
      <c r="P73">
        <f t="shared" si="1"/>
        <v>8550</v>
      </c>
      <c r="Q73" t="str">
        <f>TEXT(Table1[[#This Row],[Order_Date]],"mmm-yyyy")</f>
        <v>Oct-2024</v>
      </c>
    </row>
    <row r="74" spans="1:17" x14ac:dyDescent="0.35">
      <c r="A74" t="s">
        <v>164</v>
      </c>
      <c r="B74" t="s">
        <v>165</v>
      </c>
      <c r="C74" t="s">
        <v>42</v>
      </c>
      <c r="D74" t="s">
        <v>37</v>
      </c>
      <c r="E74" t="s">
        <v>27</v>
      </c>
      <c r="F74" t="s">
        <v>23</v>
      </c>
      <c r="G74">
        <v>3</v>
      </c>
      <c r="H74">
        <v>1377</v>
      </c>
      <c r="I74" t="str">
        <f>VLOOKUP(D74,Product_Master!A:D,2,FALSE)</f>
        <v>Mobile</v>
      </c>
      <c r="J74" t="str">
        <f>VLOOKUP(D74,Product_Master!A:D,3,FALSE)</f>
        <v>Electronics</v>
      </c>
      <c r="K74">
        <f>VLOOKUP(D74,Product_Master!A:D,4,FALSE)</f>
        <v>600</v>
      </c>
      <c r="L74" t="str">
        <f>VLOOKUP(C74,Customer_Master!A:C,2,FALSE)</f>
        <v>Ramesh</v>
      </c>
      <c r="M74" t="str">
        <f>VLOOKUP(C74,Customer_Master!A:C,3,FALSE)</f>
        <v>Consumer</v>
      </c>
      <c r="N74">
        <f>Table1[[#This Row],[Quantity]]*Table1[[#This Row],[Unit_Price]]</f>
        <v>4131</v>
      </c>
      <c r="O74">
        <f>(Table1[[#This Row],[Unit_Price]]-Table1[[#This Row],[Cost_Price]])*Table1[[#This Row],[Quantity]]</f>
        <v>2331</v>
      </c>
      <c r="P74">
        <f t="shared" si="1"/>
        <v>4131</v>
      </c>
      <c r="Q74" t="str">
        <f>TEXT(Table1[[#This Row],[Order_Date]],"mmm-yyyy")</f>
        <v>Feb-2024</v>
      </c>
    </row>
    <row r="75" spans="1:17" x14ac:dyDescent="0.35">
      <c r="A75" t="s">
        <v>166</v>
      </c>
      <c r="B75" t="s">
        <v>167</v>
      </c>
      <c r="C75" t="s">
        <v>21</v>
      </c>
      <c r="D75" t="s">
        <v>11</v>
      </c>
      <c r="E75" t="s">
        <v>17</v>
      </c>
      <c r="F75" t="s">
        <v>18</v>
      </c>
      <c r="G75">
        <v>1</v>
      </c>
      <c r="H75">
        <v>1393</v>
      </c>
      <c r="I75" t="str">
        <f>VLOOKUP(D75,Product_Master!A:D,2,FALSE)</f>
        <v>Chair</v>
      </c>
      <c r="J75" t="str">
        <f>VLOOKUP(D75,Product_Master!A:D,3,FALSE)</f>
        <v>Furniture</v>
      </c>
      <c r="K75">
        <f>VLOOKUP(D75,Product_Master!A:D,4,FALSE)</f>
        <v>150</v>
      </c>
      <c r="L75" t="str">
        <f>VLOOKUP(C75,Customer_Master!A:C,2,FALSE)</f>
        <v>Reliance</v>
      </c>
      <c r="M75" t="str">
        <f>VLOOKUP(C75,Customer_Master!A:C,3,FALSE)</f>
        <v>Corporate</v>
      </c>
      <c r="N75">
        <f>Table1[[#This Row],[Quantity]]*Table1[[#This Row],[Unit_Price]]</f>
        <v>1393</v>
      </c>
      <c r="O75">
        <f>(Table1[[#This Row],[Unit_Price]]-Table1[[#This Row],[Cost_Price]])*Table1[[#This Row],[Quantity]]</f>
        <v>1243</v>
      </c>
      <c r="P75">
        <f t="shared" si="1"/>
        <v>1393</v>
      </c>
      <c r="Q75" t="str">
        <f>TEXT(Table1[[#This Row],[Order_Date]],"mmm-yyyy")</f>
        <v>Sep-2024</v>
      </c>
    </row>
    <row r="76" spans="1:17" x14ac:dyDescent="0.35">
      <c r="A76" t="s">
        <v>168</v>
      </c>
      <c r="B76" t="s">
        <v>169</v>
      </c>
      <c r="C76" t="s">
        <v>10</v>
      </c>
      <c r="D76" t="s">
        <v>11</v>
      </c>
      <c r="E76" t="s">
        <v>33</v>
      </c>
      <c r="F76" t="s">
        <v>18</v>
      </c>
      <c r="G76">
        <v>5</v>
      </c>
      <c r="H76">
        <v>920</v>
      </c>
      <c r="I76" t="str">
        <f>VLOOKUP(D76,Product_Master!A:D,2,FALSE)</f>
        <v>Chair</v>
      </c>
      <c r="J76" t="str">
        <f>VLOOKUP(D76,Product_Master!A:D,3,FALSE)</f>
        <v>Furniture</v>
      </c>
      <c r="K76">
        <f>VLOOKUP(D76,Product_Master!A:D,4,FALSE)</f>
        <v>150</v>
      </c>
      <c r="L76" t="str">
        <f>VLOOKUP(C76,Customer_Master!A:C,2,FALSE)</f>
        <v>Suresh</v>
      </c>
      <c r="M76" t="str">
        <f>VLOOKUP(C76,Customer_Master!A:C,3,FALSE)</f>
        <v>Consumer</v>
      </c>
      <c r="N76">
        <f>Table1[[#This Row],[Quantity]]*Table1[[#This Row],[Unit_Price]]</f>
        <v>4600</v>
      </c>
      <c r="O76">
        <f>(Table1[[#This Row],[Unit_Price]]-Table1[[#This Row],[Cost_Price]])*Table1[[#This Row],[Quantity]]</f>
        <v>3850</v>
      </c>
      <c r="P76">
        <f t="shared" si="1"/>
        <v>4600</v>
      </c>
      <c r="Q76" t="str">
        <f>TEXT(Table1[[#This Row],[Order_Date]],"mmm-yyyy")</f>
        <v>Mar-2024</v>
      </c>
    </row>
    <row r="77" spans="1:17" x14ac:dyDescent="0.35">
      <c r="A77" t="s">
        <v>170</v>
      </c>
      <c r="B77" t="s">
        <v>171</v>
      </c>
      <c r="C77" t="s">
        <v>10</v>
      </c>
      <c r="D77" t="s">
        <v>22</v>
      </c>
      <c r="E77" t="s">
        <v>33</v>
      </c>
      <c r="F77" t="s">
        <v>13</v>
      </c>
      <c r="G77">
        <v>1</v>
      </c>
      <c r="H77">
        <v>1483</v>
      </c>
      <c r="I77" t="str">
        <f>VLOOKUP(D77,Product_Master!A:D,2,FALSE)</f>
        <v>Desk</v>
      </c>
      <c r="J77" t="str">
        <f>VLOOKUP(D77,Product_Master!A:D,3,FALSE)</f>
        <v>Furniture</v>
      </c>
      <c r="K77">
        <f>VLOOKUP(D77,Product_Master!A:D,4,FALSE)</f>
        <v>300</v>
      </c>
      <c r="L77" t="str">
        <f>VLOOKUP(C77,Customer_Master!A:C,2,FALSE)</f>
        <v>Suresh</v>
      </c>
      <c r="M77" t="str">
        <f>VLOOKUP(C77,Customer_Master!A:C,3,FALSE)</f>
        <v>Consumer</v>
      </c>
      <c r="N77">
        <f>Table1[[#This Row],[Quantity]]*Table1[[#This Row],[Unit_Price]]</f>
        <v>1483</v>
      </c>
      <c r="O77">
        <f>(Table1[[#This Row],[Unit_Price]]-Table1[[#This Row],[Cost_Price]])*Table1[[#This Row],[Quantity]]</f>
        <v>1183</v>
      </c>
      <c r="P77">
        <f t="shared" si="1"/>
        <v>1483</v>
      </c>
      <c r="Q77" t="str">
        <f>TEXT(Table1[[#This Row],[Order_Date]],"mmm-yyyy")</f>
        <v>Aug-2024</v>
      </c>
    </row>
    <row r="78" spans="1:17" x14ac:dyDescent="0.35">
      <c r="A78" t="s">
        <v>172</v>
      </c>
      <c r="B78" t="s">
        <v>173</v>
      </c>
      <c r="C78" t="s">
        <v>10</v>
      </c>
      <c r="D78" t="s">
        <v>22</v>
      </c>
      <c r="E78" t="s">
        <v>17</v>
      </c>
      <c r="F78" t="s">
        <v>34</v>
      </c>
      <c r="G78">
        <v>2</v>
      </c>
      <c r="H78">
        <v>1705</v>
      </c>
      <c r="I78" t="str">
        <f>VLOOKUP(D78,Product_Master!A:D,2,FALSE)</f>
        <v>Desk</v>
      </c>
      <c r="J78" t="str">
        <f>VLOOKUP(D78,Product_Master!A:D,3,FALSE)</f>
        <v>Furniture</v>
      </c>
      <c r="K78">
        <f>VLOOKUP(D78,Product_Master!A:D,4,FALSE)</f>
        <v>300</v>
      </c>
      <c r="L78" t="str">
        <f>VLOOKUP(C78,Customer_Master!A:C,2,FALSE)</f>
        <v>Suresh</v>
      </c>
      <c r="M78" t="str">
        <f>VLOOKUP(C78,Customer_Master!A:C,3,FALSE)</f>
        <v>Consumer</v>
      </c>
      <c r="N78">
        <f>Table1[[#This Row],[Quantity]]*Table1[[#This Row],[Unit_Price]]</f>
        <v>3410</v>
      </c>
      <c r="O78">
        <f>(Table1[[#This Row],[Unit_Price]]-Table1[[#This Row],[Cost_Price]])*Table1[[#This Row],[Quantity]]</f>
        <v>2810</v>
      </c>
      <c r="P78">
        <f t="shared" si="1"/>
        <v>3410</v>
      </c>
      <c r="Q78" t="str">
        <f>TEXT(Table1[[#This Row],[Order_Date]],"mmm-yyyy")</f>
        <v>Oct-2024</v>
      </c>
    </row>
    <row r="79" spans="1:17" x14ac:dyDescent="0.35">
      <c r="A79" t="s">
        <v>174</v>
      </c>
      <c r="B79" t="s">
        <v>175</v>
      </c>
      <c r="C79" t="s">
        <v>30</v>
      </c>
      <c r="D79" t="s">
        <v>11</v>
      </c>
      <c r="E79" t="s">
        <v>12</v>
      </c>
      <c r="F79" t="s">
        <v>13</v>
      </c>
      <c r="G79">
        <v>8</v>
      </c>
      <c r="H79">
        <v>1425</v>
      </c>
      <c r="I79" t="str">
        <f>VLOOKUP(D79,Product_Master!A:D,2,FALSE)</f>
        <v>Chair</v>
      </c>
      <c r="J79" t="str">
        <f>VLOOKUP(D79,Product_Master!A:D,3,FALSE)</f>
        <v>Furniture</v>
      </c>
      <c r="K79">
        <f>VLOOKUP(D79,Product_Master!A:D,4,FALSE)</f>
        <v>150</v>
      </c>
      <c r="L79" t="str">
        <f>VLOOKUP(C79,Customer_Master!A:C,2,FALSE)</f>
        <v>Infosys</v>
      </c>
      <c r="M79" t="str">
        <f>VLOOKUP(C79,Customer_Master!A:C,3,FALSE)</f>
        <v>Corporate</v>
      </c>
      <c r="N79">
        <f>Table1[[#This Row],[Quantity]]*Table1[[#This Row],[Unit_Price]]</f>
        <v>11400</v>
      </c>
      <c r="O79">
        <f>(Table1[[#This Row],[Unit_Price]]-Table1[[#This Row],[Cost_Price]])*Table1[[#This Row],[Quantity]]</f>
        <v>10200</v>
      </c>
      <c r="P79">
        <f t="shared" si="1"/>
        <v>11400</v>
      </c>
      <c r="Q79" t="str">
        <f>TEXT(Table1[[#This Row],[Order_Date]],"mmm-yyyy")</f>
        <v>Feb-2024</v>
      </c>
    </row>
    <row r="80" spans="1:17" x14ac:dyDescent="0.35">
      <c r="A80" t="s">
        <v>176</v>
      </c>
      <c r="B80" t="s">
        <v>177</v>
      </c>
      <c r="C80" t="s">
        <v>30</v>
      </c>
      <c r="D80" t="s">
        <v>11</v>
      </c>
      <c r="E80" t="s">
        <v>33</v>
      </c>
      <c r="F80" t="s">
        <v>13</v>
      </c>
      <c r="G80">
        <v>8</v>
      </c>
      <c r="H80">
        <v>1903</v>
      </c>
      <c r="I80" t="str">
        <f>VLOOKUP(D80,Product_Master!A:D,2,FALSE)</f>
        <v>Chair</v>
      </c>
      <c r="J80" t="str">
        <f>VLOOKUP(D80,Product_Master!A:D,3,FALSE)</f>
        <v>Furniture</v>
      </c>
      <c r="K80">
        <f>VLOOKUP(D80,Product_Master!A:D,4,FALSE)</f>
        <v>150</v>
      </c>
      <c r="L80" t="str">
        <f>VLOOKUP(C80,Customer_Master!A:C,2,FALSE)</f>
        <v>Infosys</v>
      </c>
      <c r="M80" t="str">
        <f>VLOOKUP(C80,Customer_Master!A:C,3,FALSE)</f>
        <v>Corporate</v>
      </c>
      <c r="N80">
        <f>Table1[[#This Row],[Quantity]]*Table1[[#This Row],[Unit_Price]]</f>
        <v>15224</v>
      </c>
      <c r="O80">
        <f>(Table1[[#This Row],[Unit_Price]]-Table1[[#This Row],[Cost_Price]])*Table1[[#This Row],[Quantity]]</f>
        <v>14024</v>
      </c>
      <c r="P80">
        <f t="shared" si="1"/>
        <v>15224</v>
      </c>
      <c r="Q80" t="str">
        <f>TEXT(Table1[[#This Row],[Order_Date]],"mmm-yyyy")</f>
        <v>Jan-2024</v>
      </c>
    </row>
    <row r="81" spans="1:17" x14ac:dyDescent="0.35">
      <c r="A81" t="s">
        <v>178</v>
      </c>
      <c r="B81" t="s">
        <v>179</v>
      </c>
      <c r="C81" t="s">
        <v>42</v>
      </c>
      <c r="D81" t="s">
        <v>16</v>
      </c>
      <c r="E81" t="s">
        <v>17</v>
      </c>
      <c r="F81" t="s">
        <v>34</v>
      </c>
      <c r="G81">
        <v>10</v>
      </c>
      <c r="H81">
        <v>1607</v>
      </c>
      <c r="I81" t="str">
        <f>VLOOKUP(D81,Product_Master!A:D,2,FALSE)</f>
        <v>Printer</v>
      </c>
      <c r="J81" t="str">
        <f>VLOOKUP(D81,Product_Master!A:D,3,FALSE)</f>
        <v>Electronics</v>
      </c>
      <c r="K81">
        <f>VLOOKUP(D81,Product_Master!A:D,4,FALSE)</f>
        <v>1100</v>
      </c>
      <c r="L81" t="str">
        <f>VLOOKUP(C81,Customer_Master!A:C,2,FALSE)</f>
        <v>Ramesh</v>
      </c>
      <c r="M81" t="str">
        <f>VLOOKUP(C81,Customer_Master!A:C,3,FALSE)</f>
        <v>Consumer</v>
      </c>
      <c r="N81">
        <f>Table1[[#This Row],[Quantity]]*Table1[[#This Row],[Unit_Price]]</f>
        <v>16070</v>
      </c>
      <c r="O81">
        <f>(Table1[[#This Row],[Unit_Price]]-Table1[[#This Row],[Cost_Price]])*Table1[[#This Row],[Quantity]]</f>
        <v>5070</v>
      </c>
      <c r="P81">
        <f t="shared" si="1"/>
        <v>16070</v>
      </c>
      <c r="Q81" t="str">
        <f>TEXT(Table1[[#This Row],[Order_Date]],"mmm-yyyy")</f>
        <v>Dec-2024</v>
      </c>
    </row>
    <row r="82" spans="1:17" x14ac:dyDescent="0.35">
      <c r="A82" t="s">
        <v>180</v>
      </c>
      <c r="B82" t="s">
        <v>84</v>
      </c>
      <c r="C82" t="s">
        <v>10</v>
      </c>
      <c r="D82" t="s">
        <v>22</v>
      </c>
      <c r="E82" t="s">
        <v>33</v>
      </c>
      <c r="F82" t="s">
        <v>13</v>
      </c>
      <c r="G82">
        <v>4</v>
      </c>
      <c r="H82">
        <v>1901</v>
      </c>
      <c r="I82" t="str">
        <f>VLOOKUP(D82,Product_Master!A:D,2,FALSE)</f>
        <v>Desk</v>
      </c>
      <c r="J82" t="str">
        <f>VLOOKUP(D82,Product_Master!A:D,3,FALSE)</f>
        <v>Furniture</v>
      </c>
      <c r="K82">
        <f>VLOOKUP(D82,Product_Master!A:D,4,FALSE)</f>
        <v>300</v>
      </c>
      <c r="L82" t="str">
        <f>VLOOKUP(C82,Customer_Master!A:C,2,FALSE)</f>
        <v>Suresh</v>
      </c>
      <c r="M82" t="str">
        <f>VLOOKUP(C82,Customer_Master!A:C,3,FALSE)</f>
        <v>Consumer</v>
      </c>
      <c r="N82">
        <f>Table1[[#This Row],[Quantity]]*Table1[[#This Row],[Unit_Price]]</f>
        <v>7604</v>
      </c>
      <c r="O82">
        <f>(Table1[[#This Row],[Unit_Price]]-Table1[[#This Row],[Cost_Price]])*Table1[[#This Row],[Quantity]]</f>
        <v>6404</v>
      </c>
      <c r="P82">
        <f t="shared" si="1"/>
        <v>7604</v>
      </c>
      <c r="Q82" t="str">
        <f>TEXT(Table1[[#This Row],[Order_Date]],"mmm-yyyy")</f>
        <v>Nov-2024</v>
      </c>
    </row>
    <row r="83" spans="1:17" x14ac:dyDescent="0.35">
      <c r="A83" t="s">
        <v>181</v>
      </c>
      <c r="B83" t="s">
        <v>126</v>
      </c>
      <c r="C83" t="s">
        <v>30</v>
      </c>
      <c r="D83" t="s">
        <v>22</v>
      </c>
      <c r="E83" t="s">
        <v>27</v>
      </c>
      <c r="F83" t="s">
        <v>13</v>
      </c>
      <c r="G83">
        <v>5</v>
      </c>
      <c r="H83">
        <v>1975</v>
      </c>
      <c r="I83" t="str">
        <f>VLOOKUP(D83,Product_Master!A:D,2,FALSE)</f>
        <v>Desk</v>
      </c>
      <c r="J83" t="str">
        <f>VLOOKUP(D83,Product_Master!A:D,3,FALSE)</f>
        <v>Furniture</v>
      </c>
      <c r="K83">
        <f>VLOOKUP(D83,Product_Master!A:D,4,FALSE)</f>
        <v>300</v>
      </c>
      <c r="L83" t="str">
        <f>VLOOKUP(C83,Customer_Master!A:C,2,FALSE)</f>
        <v>Infosys</v>
      </c>
      <c r="M83" t="str">
        <f>VLOOKUP(C83,Customer_Master!A:C,3,FALSE)</f>
        <v>Corporate</v>
      </c>
      <c r="N83">
        <f>Table1[[#This Row],[Quantity]]*Table1[[#This Row],[Unit_Price]]</f>
        <v>9875</v>
      </c>
      <c r="O83">
        <f>(Table1[[#This Row],[Unit_Price]]-Table1[[#This Row],[Cost_Price]])*Table1[[#This Row],[Quantity]]</f>
        <v>8375</v>
      </c>
      <c r="P83">
        <f t="shared" si="1"/>
        <v>9875</v>
      </c>
      <c r="Q83" t="str">
        <f>TEXT(Table1[[#This Row],[Order_Date]],"mmm-yyyy")</f>
        <v>Nov-2024</v>
      </c>
    </row>
    <row r="84" spans="1:17" x14ac:dyDescent="0.35">
      <c r="A84" t="s">
        <v>182</v>
      </c>
      <c r="B84" t="s">
        <v>183</v>
      </c>
      <c r="C84" t="s">
        <v>42</v>
      </c>
      <c r="D84" t="s">
        <v>16</v>
      </c>
      <c r="E84" t="s">
        <v>17</v>
      </c>
      <c r="F84" t="s">
        <v>34</v>
      </c>
      <c r="G84">
        <v>3</v>
      </c>
      <c r="H84">
        <v>1645</v>
      </c>
      <c r="I84" t="str">
        <f>VLOOKUP(D84,Product_Master!A:D,2,FALSE)</f>
        <v>Printer</v>
      </c>
      <c r="J84" t="str">
        <f>VLOOKUP(D84,Product_Master!A:D,3,FALSE)</f>
        <v>Electronics</v>
      </c>
      <c r="K84">
        <f>VLOOKUP(D84,Product_Master!A:D,4,FALSE)</f>
        <v>1100</v>
      </c>
      <c r="L84" t="str">
        <f>VLOOKUP(C84,Customer_Master!A:C,2,FALSE)</f>
        <v>Ramesh</v>
      </c>
      <c r="M84" t="str">
        <f>VLOOKUP(C84,Customer_Master!A:C,3,FALSE)</f>
        <v>Consumer</v>
      </c>
      <c r="N84">
        <f>Table1[[#This Row],[Quantity]]*Table1[[#This Row],[Unit_Price]]</f>
        <v>4935</v>
      </c>
      <c r="O84">
        <f>(Table1[[#This Row],[Unit_Price]]-Table1[[#This Row],[Cost_Price]])*Table1[[#This Row],[Quantity]]</f>
        <v>1635</v>
      </c>
      <c r="P84">
        <f t="shared" si="1"/>
        <v>4935</v>
      </c>
      <c r="Q84" t="str">
        <f>TEXT(Table1[[#This Row],[Order_Date]],"mmm-yyyy")</f>
        <v>Aug-2024</v>
      </c>
    </row>
    <row r="85" spans="1:17" x14ac:dyDescent="0.35">
      <c r="A85" t="s">
        <v>184</v>
      </c>
      <c r="B85" t="s">
        <v>185</v>
      </c>
      <c r="C85" t="s">
        <v>21</v>
      </c>
      <c r="D85" t="s">
        <v>26</v>
      </c>
      <c r="E85" t="s">
        <v>33</v>
      </c>
      <c r="F85" t="s">
        <v>13</v>
      </c>
      <c r="G85">
        <v>3</v>
      </c>
      <c r="H85">
        <v>1128</v>
      </c>
      <c r="I85" t="str">
        <f>VLOOKUP(D85,Product_Master!A:D,2,FALSE)</f>
        <v>Laptop</v>
      </c>
      <c r="J85" t="str">
        <f>VLOOKUP(D85,Product_Master!A:D,3,FALSE)</f>
        <v>Electronics</v>
      </c>
      <c r="K85">
        <f>VLOOKUP(D85,Product_Master!A:D,4,FALSE)</f>
        <v>900</v>
      </c>
      <c r="L85" t="str">
        <f>VLOOKUP(C85,Customer_Master!A:C,2,FALSE)</f>
        <v>Reliance</v>
      </c>
      <c r="M85" t="str">
        <f>VLOOKUP(C85,Customer_Master!A:C,3,FALSE)</f>
        <v>Corporate</v>
      </c>
      <c r="N85">
        <f>Table1[[#This Row],[Quantity]]*Table1[[#This Row],[Unit_Price]]</f>
        <v>3384</v>
      </c>
      <c r="O85">
        <f>(Table1[[#This Row],[Unit_Price]]-Table1[[#This Row],[Cost_Price]])*Table1[[#This Row],[Quantity]]</f>
        <v>684</v>
      </c>
      <c r="P85">
        <f t="shared" si="1"/>
        <v>3384</v>
      </c>
      <c r="Q85" t="str">
        <f>TEXT(Table1[[#This Row],[Order_Date]],"mmm-yyyy")</f>
        <v>Nov-2024</v>
      </c>
    </row>
    <row r="86" spans="1:17" x14ac:dyDescent="0.35">
      <c r="A86" t="s">
        <v>186</v>
      </c>
      <c r="B86" t="s">
        <v>187</v>
      </c>
      <c r="C86" t="s">
        <v>21</v>
      </c>
      <c r="D86" t="s">
        <v>26</v>
      </c>
      <c r="E86" t="s">
        <v>33</v>
      </c>
      <c r="F86" t="s">
        <v>18</v>
      </c>
      <c r="G86">
        <v>7</v>
      </c>
      <c r="H86">
        <v>1554</v>
      </c>
      <c r="I86" t="str">
        <f>VLOOKUP(D86,Product_Master!A:D,2,FALSE)</f>
        <v>Laptop</v>
      </c>
      <c r="J86" t="str">
        <f>VLOOKUP(D86,Product_Master!A:D,3,FALSE)</f>
        <v>Electronics</v>
      </c>
      <c r="K86">
        <f>VLOOKUP(D86,Product_Master!A:D,4,FALSE)</f>
        <v>900</v>
      </c>
      <c r="L86" t="str">
        <f>VLOOKUP(C86,Customer_Master!A:C,2,FALSE)</f>
        <v>Reliance</v>
      </c>
      <c r="M86" t="str">
        <f>VLOOKUP(C86,Customer_Master!A:C,3,FALSE)</f>
        <v>Corporate</v>
      </c>
      <c r="N86">
        <f>Table1[[#This Row],[Quantity]]*Table1[[#This Row],[Unit_Price]]</f>
        <v>10878</v>
      </c>
      <c r="O86">
        <f>(Table1[[#This Row],[Unit_Price]]-Table1[[#This Row],[Cost_Price]])*Table1[[#This Row],[Quantity]]</f>
        <v>4578</v>
      </c>
      <c r="P86">
        <f t="shared" si="1"/>
        <v>10878</v>
      </c>
      <c r="Q86" t="str">
        <f>TEXT(Table1[[#This Row],[Order_Date]],"mmm-yyyy")</f>
        <v>Feb-2024</v>
      </c>
    </row>
    <row r="87" spans="1:17" x14ac:dyDescent="0.35">
      <c r="A87" t="s">
        <v>188</v>
      </c>
      <c r="B87" t="s">
        <v>189</v>
      </c>
      <c r="C87" t="s">
        <v>45</v>
      </c>
      <c r="D87" t="s">
        <v>26</v>
      </c>
      <c r="E87" t="s">
        <v>17</v>
      </c>
      <c r="F87" t="s">
        <v>18</v>
      </c>
      <c r="G87">
        <v>5</v>
      </c>
      <c r="H87">
        <v>1548</v>
      </c>
      <c r="I87" t="str">
        <f>VLOOKUP(D87,Product_Master!A:D,2,FALSE)</f>
        <v>Laptop</v>
      </c>
      <c r="J87" t="str">
        <f>VLOOKUP(D87,Product_Master!A:D,3,FALSE)</f>
        <v>Electronics</v>
      </c>
      <c r="K87">
        <f>VLOOKUP(D87,Product_Master!A:D,4,FALSE)</f>
        <v>900</v>
      </c>
      <c r="L87" t="str">
        <f>VLOOKUP(C87,Customer_Master!A:C,2,FALSE)</f>
        <v>TCS</v>
      </c>
      <c r="M87" t="str">
        <f>VLOOKUP(C87,Customer_Master!A:C,3,FALSE)</f>
        <v>Corporate</v>
      </c>
      <c r="N87">
        <f>Table1[[#This Row],[Quantity]]*Table1[[#This Row],[Unit_Price]]</f>
        <v>7740</v>
      </c>
      <c r="O87">
        <f>(Table1[[#This Row],[Unit_Price]]-Table1[[#This Row],[Cost_Price]])*Table1[[#This Row],[Quantity]]</f>
        <v>3240</v>
      </c>
      <c r="P87">
        <f t="shared" si="1"/>
        <v>7740</v>
      </c>
      <c r="Q87" t="str">
        <f>TEXT(Table1[[#This Row],[Order_Date]],"mmm-yyyy")</f>
        <v>Jun-2024</v>
      </c>
    </row>
    <row r="88" spans="1:17" x14ac:dyDescent="0.35">
      <c r="A88" t="s">
        <v>190</v>
      </c>
      <c r="B88" t="s">
        <v>191</v>
      </c>
      <c r="C88" t="s">
        <v>42</v>
      </c>
      <c r="D88" t="s">
        <v>11</v>
      </c>
      <c r="E88" t="s">
        <v>33</v>
      </c>
      <c r="F88" t="s">
        <v>34</v>
      </c>
      <c r="G88">
        <v>7</v>
      </c>
      <c r="H88">
        <v>1305</v>
      </c>
      <c r="I88" t="str">
        <f>VLOOKUP(D88,Product_Master!A:D,2,FALSE)</f>
        <v>Chair</v>
      </c>
      <c r="J88" t="str">
        <f>VLOOKUP(D88,Product_Master!A:D,3,FALSE)</f>
        <v>Furniture</v>
      </c>
      <c r="K88">
        <f>VLOOKUP(D88,Product_Master!A:D,4,FALSE)</f>
        <v>150</v>
      </c>
      <c r="L88" t="str">
        <f>VLOOKUP(C88,Customer_Master!A:C,2,FALSE)</f>
        <v>Ramesh</v>
      </c>
      <c r="M88" t="str">
        <f>VLOOKUP(C88,Customer_Master!A:C,3,FALSE)</f>
        <v>Consumer</v>
      </c>
      <c r="N88">
        <f>Table1[[#This Row],[Quantity]]*Table1[[#This Row],[Unit_Price]]</f>
        <v>9135</v>
      </c>
      <c r="O88">
        <f>(Table1[[#This Row],[Unit_Price]]-Table1[[#This Row],[Cost_Price]])*Table1[[#This Row],[Quantity]]</f>
        <v>8085</v>
      </c>
      <c r="P88">
        <f t="shared" si="1"/>
        <v>9135</v>
      </c>
      <c r="Q88" t="str">
        <f>TEXT(Table1[[#This Row],[Order_Date]],"mmm-yyyy")</f>
        <v>Jul-2024</v>
      </c>
    </row>
    <row r="89" spans="1:17" x14ac:dyDescent="0.35">
      <c r="A89" t="s">
        <v>192</v>
      </c>
      <c r="B89" t="s">
        <v>193</v>
      </c>
      <c r="C89" t="s">
        <v>42</v>
      </c>
      <c r="D89" t="s">
        <v>11</v>
      </c>
      <c r="E89" t="s">
        <v>27</v>
      </c>
      <c r="F89" t="s">
        <v>13</v>
      </c>
      <c r="G89">
        <v>10</v>
      </c>
      <c r="H89">
        <v>1913</v>
      </c>
      <c r="I89" t="str">
        <f>VLOOKUP(D89,Product_Master!A:D,2,FALSE)</f>
        <v>Chair</v>
      </c>
      <c r="J89" t="str">
        <f>VLOOKUP(D89,Product_Master!A:D,3,FALSE)</f>
        <v>Furniture</v>
      </c>
      <c r="K89">
        <f>VLOOKUP(D89,Product_Master!A:D,4,FALSE)</f>
        <v>150</v>
      </c>
      <c r="L89" t="str">
        <f>VLOOKUP(C89,Customer_Master!A:C,2,FALSE)</f>
        <v>Ramesh</v>
      </c>
      <c r="M89" t="str">
        <f>VLOOKUP(C89,Customer_Master!A:C,3,FALSE)</f>
        <v>Consumer</v>
      </c>
      <c r="N89">
        <f>Table1[[#This Row],[Quantity]]*Table1[[#This Row],[Unit_Price]]</f>
        <v>19130</v>
      </c>
      <c r="O89">
        <f>(Table1[[#This Row],[Unit_Price]]-Table1[[#This Row],[Cost_Price]])*Table1[[#This Row],[Quantity]]</f>
        <v>17630</v>
      </c>
      <c r="P89">
        <f t="shared" si="1"/>
        <v>19130</v>
      </c>
      <c r="Q89" t="str">
        <f>TEXT(Table1[[#This Row],[Order_Date]],"mmm-yyyy")</f>
        <v>Sep-2024</v>
      </c>
    </row>
    <row r="90" spans="1:17" x14ac:dyDescent="0.35">
      <c r="A90" t="s">
        <v>194</v>
      </c>
      <c r="B90" t="s">
        <v>195</v>
      </c>
      <c r="C90" t="s">
        <v>42</v>
      </c>
      <c r="D90" t="s">
        <v>26</v>
      </c>
      <c r="E90" t="s">
        <v>12</v>
      </c>
      <c r="F90" t="s">
        <v>23</v>
      </c>
      <c r="G90">
        <v>3</v>
      </c>
      <c r="H90">
        <v>1249</v>
      </c>
      <c r="I90" t="str">
        <f>VLOOKUP(D90,Product_Master!A:D,2,FALSE)</f>
        <v>Laptop</v>
      </c>
      <c r="J90" t="str">
        <f>VLOOKUP(D90,Product_Master!A:D,3,FALSE)</f>
        <v>Electronics</v>
      </c>
      <c r="K90">
        <f>VLOOKUP(D90,Product_Master!A:D,4,FALSE)</f>
        <v>900</v>
      </c>
      <c r="L90" t="str">
        <f>VLOOKUP(C90,Customer_Master!A:C,2,FALSE)</f>
        <v>Ramesh</v>
      </c>
      <c r="M90" t="str">
        <f>VLOOKUP(C90,Customer_Master!A:C,3,FALSE)</f>
        <v>Consumer</v>
      </c>
      <c r="N90">
        <f>Table1[[#This Row],[Quantity]]*Table1[[#This Row],[Unit_Price]]</f>
        <v>3747</v>
      </c>
      <c r="O90">
        <f>(Table1[[#This Row],[Unit_Price]]-Table1[[#This Row],[Cost_Price]])*Table1[[#This Row],[Quantity]]</f>
        <v>1047</v>
      </c>
      <c r="P90">
        <f t="shared" si="1"/>
        <v>3747</v>
      </c>
      <c r="Q90" t="str">
        <f>TEXT(Table1[[#This Row],[Order_Date]],"mmm-yyyy")</f>
        <v>Jun-2024</v>
      </c>
    </row>
    <row r="91" spans="1:17" x14ac:dyDescent="0.35">
      <c r="A91" t="s">
        <v>196</v>
      </c>
      <c r="B91" t="s">
        <v>84</v>
      </c>
      <c r="C91" t="s">
        <v>45</v>
      </c>
      <c r="D91" t="s">
        <v>16</v>
      </c>
      <c r="E91" t="s">
        <v>27</v>
      </c>
      <c r="F91" t="s">
        <v>13</v>
      </c>
      <c r="G91">
        <v>2</v>
      </c>
      <c r="H91">
        <v>1438</v>
      </c>
      <c r="I91" t="str">
        <f>VLOOKUP(D91,Product_Master!A:D,2,FALSE)</f>
        <v>Printer</v>
      </c>
      <c r="J91" t="str">
        <f>VLOOKUP(D91,Product_Master!A:D,3,FALSE)</f>
        <v>Electronics</v>
      </c>
      <c r="K91">
        <f>VLOOKUP(D91,Product_Master!A:D,4,FALSE)</f>
        <v>1100</v>
      </c>
      <c r="L91" t="str">
        <f>VLOOKUP(C91,Customer_Master!A:C,2,FALSE)</f>
        <v>TCS</v>
      </c>
      <c r="M91" t="str">
        <f>VLOOKUP(C91,Customer_Master!A:C,3,FALSE)</f>
        <v>Corporate</v>
      </c>
      <c r="N91">
        <f>Table1[[#This Row],[Quantity]]*Table1[[#This Row],[Unit_Price]]</f>
        <v>2876</v>
      </c>
      <c r="O91">
        <f>(Table1[[#This Row],[Unit_Price]]-Table1[[#This Row],[Cost_Price]])*Table1[[#This Row],[Quantity]]</f>
        <v>676</v>
      </c>
      <c r="P91">
        <f t="shared" si="1"/>
        <v>2876</v>
      </c>
      <c r="Q91" t="str">
        <f>TEXT(Table1[[#This Row],[Order_Date]],"mmm-yyyy")</f>
        <v>Nov-2024</v>
      </c>
    </row>
    <row r="92" spans="1:17" x14ac:dyDescent="0.35">
      <c r="A92" t="s">
        <v>197</v>
      </c>
      <c r="B92" t="s">
        <v>198</v>
      </c>
      <c r="C92" t="s">
        <v>30</v>
      </c>
      <c r="D92" t="s">
        <v>16</v>
      </c>
      <c r="E92" t="s">
        <v>12</v>
      </c>
      <c r="F92" t="s">
        <v>34</v>
      </c>
      <c r="G92">
        <v>1</v>
      </c>
      <c r="H92">
        <v>1996</v>
      </c>
      <c r="I92" t="str">
        <f>VLOOKUP(D92,Product_Master!A:D,2,FALSE)</f>
        <v>Printer</v>
      </c>
      <c r="J92" t="str">
        <f>VLOOKUP(D92,Product_Master!A:D,3,FALSE)</f>
        <v>Electronics</v>
      </c>
      <c r="K92">
        <f>VLOOKUP(D92,Product_Master!A:D,4,FALSE)</f>
        <v>1100</v>
      </c>
      <c r="L92" t="str">
        <f>VLOOKUP(C92,Customer_Master!A:C,2,FALSE)</f>
        <v>Infosys</v>
      </c>
      <c r="M92" t="str">
        <f>VLOOKUP(C92,Customer_Master!A:C,3,FALSE)</f>
        <v>Corporate</v>
      </c>
      <c r="N92">
        <f>Table1[[#This Row],[Quantity]]*Table1[[#This Row],[Unit_Price]]</f>
        <v>1996</v>
      </c>
      <c r="O92">
        <f>(Table1[[#This Row],[Unit_Price]]-Table1[[#This Row],[Cost_Price]])*Table1[[#This Row],[Quantity]]</f>
        <v>896</v>
      </c>
      <c r="P92">
        <f t="shared" si="1"/>
        <v>1996</v>
      </c>
      <c r="Q92" t="str">
        <f>TEXT(Table1[[#This Row],[Order_Date]],"mmm-yyyy")</f>
        <v>Jun-2024</v>
      </c>
    </row>
    <row r="93" spans="1:17" x14ac:dyDescent="0.35">
      <c r="A93" t="s">
        <v>199</v>
      </c>
      <c r="B93" t="s">
        <v>200</v>
      </c>
      <c r="C93" t="s">
        <v>42</v>
      </c>
      <c r="D93" t="s">
        <v>16</v>
      </c>
      <c r="E93" t="s">
        <v>33</v>
      </c>
      <c r="F93" t="s">
        <v>34</v>
      </c>
      <c r="G93">
        <v>3</v>
      </c>
      <c r="H93">
        <v>820</v>
      </c>
      <c r="I93" t="str">
        <f>VLOOKUP(D93,Product_Master!A:D,2,FALSE)</f>
        <v>Printer</v>
      </c>
      <c r="J93" t="str">
        <f>VLOOKUP(D93,Product_Master!A:D,3,FALSE)</f>
        <v>Electronics</v>
      </c>
      <c r="K93">
        <f>VLOOKUP(D93,Product_Master!A:D,4,FALSE)</f>
        <v>1100</v>
      </c>
      <c r="L93" t="str">
        <f>VLOOKUP(C93,Customer_Master!A:C,2,FALSE)</f>
        <v>Ramesh</v>
      </c>
      <c r="M93" t="str">
        <f>VLOOKUP(C93,Customer_Master!A:C,3,FALSE)</f>
        <v>Consumer</v>
      </c>
      <c r="N93">
        <f>Table1[[#This Row],[Quantity]]*Table1[[#This Row],[Unit_Price]]</f>
        <v>2460</v>
      </c>
      <c r="O93">
        <f>(Table1[[#This Row],[Unit_Price]]-Table1[[#This Row],[Cost_Price]])*Table1[[#This Row],[Quantity]]</f>
        <v>-840</v>
      </c>
      <c r="P93">
        <f t="shared" si="1"/>
        <v>2460</v>
      </c>
      <c r="Q93" t="str">
        <f>TEXT(Table1[[#This Row],[Order_Date]],"mmm-yyyy")</f>
        <v>Dec-2024</v>
      </c>
    </row>
    <row r="94" spans="1:17" x14ac:dyDescent="0.35">
      <c r="A94" t="s">
        <v>201</v>
      </c>
      <c r="B94" t="s">
        <v>202</v>
      </c>
      <c r="C94" t="s">
        <v>30</v>
      </c>
      <c r="D94" t="s">
        <v>26</v>
      </c>
      <c r="E94" t="s">
        <v>12</v>
      </c>
      <c r="F94" t="s">
        <v>18</v>
      </c>
      <c r="G94">
        <v>8</v>
      </c>
      <c r="H94">
        <v>1041</v>
      </c>
      <c r="I94" t="str">
        <f>VLOOKUP(D94,Product_Master!A:D,2,FALSE)</f>
        <v>Laptop</v>
      </c>
      <c r="J94" t="str">
        <f>VLOOKUP(D94,Product_Master!A:D,3,FALSE)</f>
        <v>Electronics</v>
      </c>
      <c r="K94">
        <f>VLOOKUP(D94,Product_Master!A:D,4,FALSE)</f>
        <v>900</v>
      </c>
      <c r="L94" t="str">
        <f>VLOOKUP(C94,Customer_Master!A:C,2,FALSE)</f>
        <v>Infosys</v>
      </c>
      <c r="M94" t="str">
        <f>VLOOKUP(C94,Customer_Master!A:C,3,FALSE)</f>
        <v>Corporate</v>
      </c>
      <c r="N94">
        <f>Table1[[#This Row],[Quantity]]*Table1[[#This Row],[Unit_Price]]</f>
        <v>8328</v>
      </c>
      <c r="O94">
        <f>(Table1[[#This Row],[Unit_Price]]-Table1[[#This Row],[Cost_Price]])*Table1[[#This Row],[Quantity]]</f>
        <v>1128</v>
      </c>
      <c r="P94">
        <f t="shared" si="1"/>
        <v>8328</v>
      </c>
      <c r="Q94" t="str">
        <f>TEXT(Table1[[#This Row],[Order_Date]],"mmm-yyyy")</f>
        <v>Apr-2024</v>
      </c>
    </row>
    <row r="95" spans="1:17" x14ac:dyDescent="0.35">
      <c r="A95" t="s">
        <v>203</v>
      </c>
      <c r="B95" t="s">
        <v>179</v>
      </c>
      <c r="C95" t="s">
        <v>21</v>
      </c>
      <c r="D95" t="s">
        <v>37</v>
      </c>
      <c r="E95" t="s">
        <v>27</v>
      </c>
      <c r="F95" t="s">
        <v>34</v>
      </c>
      <c r="G95">
        <v>6</v>
      </c>
      <c r="H95">
        <v>1918</v>
      </c>
      <c r="I95" t="str">
        <f>VLOOKUP(D95,Product_Master!A:D,2,FALSE)</f>
        <v>Mobile</v>
      </c>
      <c r="J95" t="str">
        <f>VLOOKUP(D95,Product_Master!A:D,3,FALSE)</f>
        <v>Electronics</v>
      </c>
      <c r="K95">
        <f>VLOOKUP(D95,Product_Master!A:D,4,FALSE)</f>
        <v>600</v>
      </c>
      <c r="L95" t="str">
        <f>VLOOKUP(C95,Customer_Master!A:C,2,FALSE)</f>
        <v>Reliance</v>
      </c>
      <c r="M95" t="str">
        <f>VLOOKUP(C95,Customer_Master!A:C,3,FALSE)</f>
        <v>Corporate</v>
      </c>
      <c r="N95">
        <f>Table1[[#This Row],[Quantity]]*Table1[[#This Row],[Unit_Price]]</f>
        <v>11508</v>
      </c>
      <c r="O95">
        <f>(Table1[[#This Row],[Unit_Price]]-Table1[[#This Row],[Cost_Price]])*Table1[[#This Row],[Quantity]]</f>
        <v>7908</v>
      </c>
      <c r="P95">
        <f t="shared" si="1"/>
        <v>11508</v>
      </c>
      <c r="Q95" t="str">
        <f>TEXT(Table1[[#This Row],[Order_Date]],"mmm-yyyy")</f>
        <v>Dec-2024</v>
      </c>
    </row>
    <row r="96" spans="1:17" x14ac:dyDescent="0.35">
      <c r="A96" t="s">
        <v>204</v>
      </c>
      <c r="B96" t="s">
        <v>205</v>
      </c>
      <c r="C96" t="s">
        <v>45</v>
      </c>
      <c r="D96" t="s">
        <v>11</v>
      </c>
      <c r="E96" t="s">
        <v>12</v>
      </c>
      <c r="F96" t="s">
        <v>13</v>
      </c>
      <c r="G96">
        <v>7</v>
      </c>
      <c r="H96">
        <v>1900</v>
      </c>
      <c r="I96" t="str">
        <f>VLOOKUP(D96,Product_Master!A:D,2,FALSE)</f>
        <v>Chair</v>
      </c>
      <c r="J96" t="str">
        <f>VLOOKUP(D96,Product_Master!A:D,3,FALSE)</f>
        <v>Furniture</v>
      </c>
      <c r="K96">
        <f>VLOOKUP(D96,Product_Master!A:D,4,FALSE)</f>
        <v>150</v>
      </c>
      <c r="L96" t="str">
        <f>VLOOKUP(C96,Customer_Master!A:C,2,FALSE)</f>
        <v>TCS</v>
      </c>
      <c r="M96" t="str">
        <f>VLOOKUP(C96,Customer_Master!A:C,3,FALSE)</f>
        <v>Corporate</v>
      </c>
      <c r="N96">
        <f>Table1[[#This Row],[Quantity]]*Table1[[#This Row],[Unit_Price]]</f>
        <v>13300</v>
      </c>
      <c r="O96">
        <f>(Table1[[#This Row],[Unit_Price]]-Table1[[#This Row],[Cost_Price]])*Table1[[#This Row],[Quantity]]</f>
        <v>12250</v>
      </c>
      <c r="P96">
        <f t="shared" si="1"/>
        <v>13300</v>
      </c>
      <c r="Q96" t="str">
        <f>TEXT(Table1[[#This Row],[Order_Date]],"mmm-yyyy")</f>
        <v>Mar-2024</v>
      </c>
    </row>
    <row r="97" spans="1:17" x14ac:dyDescent="0.35">
      <c r="A97" t="s">
        <v>206</v>
      </c>
      <c r="B97" t="s">
        <v>130</v>
      </c>
      <c r="C97" t="s">
        <v>30</v>
      </c>
      <c r="D97" t="s">
        <v>26</v>
      </c>
      <c r="E97" t="s">
        <v>12</v>
      </c>
      <c r="F97" t="s">
        <v>23</v>
      </c>
      <c r="G97">
        <v>5</v>
      </c>
      <c r="H97">
        <v>1348</v>
      </c>
      <c r="I97" t="str">
        <f>VLOOKUP(D97,Product_Master!A:D,2,FALSE)</f>
        <v>Laptop</v>
      </c>
      <c r="J97" t="str">
        <f>VLOOKUP(D97,Product_Master!A:D,3,FALSE)</f>
        <v>Electronics</v>
      </c>
      <c r="K97">
        <f>VLOOKUP(D97,Product_Master!A:D,4,FALSE)</f>
        <v>900</v>
      </c>
      <c r="L97" t="str">
        <f>VLOOKUP(C97,Customer_Master!A:C,2,FALSE)</f>
        <v>Infosys</v>
      </c>
      <c r="M97" t="str">
        <f>VLOOKUP(C97,Customer_Master!A:C,3,FALSE)</f>
        <v>Corporate</v>
      </c>
      <c r="N97">
        <f>Table1[[#This Row],[Quantity]]*Table1[[#This Row],[Unit_Price]]</f>
        <v>6740</v>
      </c>
      <c r="O97">
        <f>(Table1[[#This Row],[Unit_Price]]-Table1[[#This Row],[Cost_Price]])*Table1[[#This Row],[Quantity]]</f>
        <v>2240</v>
      </c>
      <c r="P97">
        <f t="shared" si="1"/>
        <v>6740</v>
      </c>
      <c r="Q97" t="str">
        <f>TEXT(Table1[[#This Row],[Order_Date]],"mmm-yyyy")</f>
        <v>May-2024</v>
      </c>
    </row>
    <row r="98" spans="1:17" x14ac:dyDescent="0.35">
      <c r="A98" t="s">
        <v>207</v>
      </c>
      <c r="B98" t="s">
        <v>82</v>
      </c>
      <c r="C98" t="s">
        <v>21</v>
      </c>
      <c r="D98" t="s">
        <v>26</v>
      </c>
      <c r="E98" t="s">
        <v>33</v>
      </c>
      <c r="F98" t="s">
        <v>13</v>
      </c>
      <c r="G98">
        <v>2</v>
      </c>
      <c r="H98">
        <v>1070</v>
      </c>
      <c r="I98" t="str">
        <f>VLOOKUP(D98,Product_Master!A:D,2,FALSE)</f>
        <v>Laptop</v>
      </c>
      <c r="J98" t="str">
        <f>VLOOKUP(D98,Product_Master!A:D,3,FALSE)</f>
        <v>Electronics</v>
      </c>
      <c r="K98">
        <f>VLOOKUP(D98,Product_Master!A:D,4,FALSE)</f>
        <v>900</v>
      </c>
      <c r="L98" t="str">
        <f>VLOOKUP(C98,Customer_Master!A:C,2,FALSE)</f>
        <v>Reliance</v>
      </c>
      <c r="M98" t="str">
        <f>VLOOKUP(C98,Customer_Master!A:C,3,FALSE)</f>
        <v>Corporate</v>
      </c>
      <c r="N98">
        <f>Table1[[#This Row],[Quantity]]*Table1[[#This Row],[Unit_Price]]</f>
        <v>2140</v>
      </c>
      <c r="O98">
        <f>(Table1[[#This Row],[Unit_Price]]-Table1[[#This Row],[Cost_Price]])*Table1[[#This Row],[Quantity]]</f>
        <v>340</v>
      </c>
      <c r="P98">
        <f t="shared" si="1"/>
        <v>2140</v>
      </c>
      <c r="Q98" t="str">
        <f>TEXT(Table1[[#This Row],[Order_Date]],"mmm-yyyy")</f>
        <v>Jan-2024</v>
      </c>
    </row>
    <row r="99" spans="1:17" x14ac:dyDescent="0.35">
      <c r="A99" t="s">
        <v>208</v>
      </c>
      <c r="B99" t="s">
        <v>209</v>
      </c>
      <c r="C99" t="s">
        <v>30</v>
      </c>
      <c r="D99" t="s">
        <v>37</v>
      </c>
      <c r="E99" t="s">
        <v>12</v>
      </c>
      <c r="F99" t="s">
        <v>23</v>
      </c>
      <c r="G99">
        <v>10</v>
      </c>
      <c r="H99">
        <v>1194</v>
      </c>
      <c r="I99" t="str">
        <f>VLOOKUP(D99,Product_Master!A:D,2,FALSE)</f>
        <v>Mobile</v>
      </c>
      <c r="J99" t="str">
        <f>VLOOKUP(D99,Product_Master!A:D,3,FALSE)</f>
        <v>Electronics</v>
      </c>
      <c r="K99">
        <f>VLOOKUP(D99,Product_Master!A:D,4,FALSE)</f>
        <v>600</v>
      </c>
      <c r="L99" t="str">
        <f>VLOOKUP(C99,Customer_Master!A:C,2,FALSE)</f>
        <v>Infosys</v>
      </c>
      <c r="M99" t="str">
        <f>VLOOKUP(C99,Customer_Master!A:C,3,FALSE)</f>
        <v>Corporate</v>
      </c>
      <c r="N99">
        <f>Table1[[#This Row],[Quantity]]*Table1[[#This Row],[Unit_Price]]</f>
        <v>11940</v>
      </c>
      <c r="O99">
        <f>(Table1[[#This Row],[Unit_Price]]-Table1[[#This Row],[Cost_Price]])*Table1[[#This Row],[Quantity]]</f>
        <v>5940</v>
      </c>
      <c r="P99">
        <f t="shared" si="1"/>
        <v>11940</v>
      </c>
      <c r="Q99" t="str">
        <f>TEXT(Table1[[#This Row],[Order_Date]],"mmm-yyyy")</f>
        <v>Sep-2024</v>
      </c>
    </row>
    <row r="100" spans="1:17" x14ac:dyDescent="0.35">
      <c r="A100" t="s">
        <v>210</v>
      </c>
      <c r="B100" t="s">
        <v>211</v>
      </c>
      <c r="C100" t="s">
        <v>45</v>
      </c>
      <c r="D100" t="s">
        <v>37</v>
      </c>
      <c r="E100" t="s">
        <v>17</v>
      </c>
      <c r="F100" t="s">
        <v>18</v>
      </c>
      <c r="G100">
        <v>3</v>
      </c>
      <c r="H100">
        <v>1953</v>
      </c>
      <c r="I100" t="str">
        <f>VLOOKUP(D100,Product_Master!A:D,2,FALSE)</f>
        <v>Mobile</v>
      </c>
      <c r="J100" t="str">
        <f>VLOOKUP(D100,Product_Master!A:D,3,FALSE)</f>
        <v>Electronics</v>
      </c>
      <c r="K100">
        <f>VLOOKUP(D100,Product_Master!A:D,4,FALSE)</f>
        <v>600</v>
      </c>
      <c r="L100" t="str">
        <f>VLOOKUP(C100,Customer_Master!A:C,2,FALSE)</f>
        <v>TCS</v>
      </c>
      <c r="M100" t="str">
        <f>VLOOKUP(C100,Customer_Master!A:C,3,FALSE)</f>
        <v>Corporate</v>
      </c>
      <c r="N100">
        <f>Table1[[#This Row],[Quantity]]*Table1[[#This Row],[Unit_Price]]</f>
        <v>5859</v>
      </c>
      <c r="O100">
        <f>(Table1[[#This Row],[Unit_Price]]-Table1[[#This Row],[Cost_Price]])*Table1[[#This Row],[Quantity]]</f>
        <v>4059</v>
      </c>
      <c r="P100">
        <f t="shared" si="1"/>
        <v>5859</v>
      </c>
      <c r="Q100" t="str">
        <f>TEXT(Table1[[#This Row],[Order_Date]],"mmm-yyyy")</f>
        <v>Feb-2024</v>
      </c>
    </row>
    <row r="101" spans="1:17" x14ac:dyDescent="0.35">
      <c r="A101" t="s">
        <v>212</v>
      </c>
      <c r="B101" t="s">
        <v>213</v>
      </c>
      <c r="C101" t="s">
        <v>45</v>
      </c>
      <c r="D101" t="s">
        <v>11</v>
      </c>
      <c r="E101" t="s">
        <v>17</v>
      </c>
      <c r="F101" t="s">
        <v>34</v>
      </c>
      <c r="G101">
        <v>5</v>
      </c>
      <c r="H101">
        <v>1393</v>
      </c>
      <c r="I101" t="str">
        <f>VLOOKUP(D101,Product_Master!A:D,2,FALSE)</f>
        <v>Chair</v>
      </c>
      <c r="J101" t="str">
        <f>VLOOKUP(D101,Product_Master!A:D,3,FALSE)</f>
        <v>Furniture</v>
      </c>
      <c r="K101">
        <f>VLOOKUP(D101,Product_Master!A:D,4,FALSE)</f>
        <v>150</v>
      </c>
      <c r="L101" t="str">
        <f>VLOOKUP(C101,Customer_Master!A:C,2,FALSE)</f>
        <v>TCS</v>
      </c>
      <c r="M101" t="str">
        <f>VLOOKUP(C101,Customer_Master!A:C,3,FALSE)</f>
        <v>Corporate</v>
      </c>
      <c r="N101">
        <f>Table1[[#This Row],[Quantity]]*Table1[[#This Row],[Unit_Price]]</f>
        <v>6965</v>
      </c>
      <c r="O101">
        <f>(Table1[[#This Row],[Unit_Price]]-Table1[[#This Row],[Cost_Price]])*Table1[[#This Row],[Quantity]]</f>
        <v>6215</v>
      </c>
      <c r="P101">
        <f t="shared" si="1"/>
        <v>6965</v>
      </c>
      <c r="Q101" t="str">
        <f>TEXT(Table1[[#This Row],[Order_Date]],"mmm-yyyy")</f>
        <v>Sep-2024</v>
      </c>
    </row>
    <row r="102" spans="1:17" x14ac:dyDescent="0.35">
      <c r="A102" t="s">
        <v>214</v>
      </c>
      <c r="B102" t="s">
        <v>215</v>
      </c>
      <c r="C102" t="s">
        <v>45</v>
      </c>
      <c r="D102" t="s">
        <v>11</v>
      </c>
      <c r="E102" t="s">
        <v>33</v>
      </c>
      <c r="F102" t="s">
        <v>18</v>
      </c>
      <c r="G102">
        <v>2</v>
      </c>
      <c r="H102">
        <v>1720</v>
      </c>
      <c r="I102" t="str">
        <f>VLOOKUP(D102,Product_Master!A:D,2,FALSE)</f>
        <v>Chair</v>
      </c>
      <c r="J102" t="str">
        <f>VLOOKUP(D102,Product_Master!A:D,3,FALSE)</f>
        <v>Furniture</v>
      </c>
      <c r="K102">
        <f>VLOOKUP(D102,Product_Master!A:D,4,FALSE)</f>
        <v>150</v>
      </c>
      <c r="L102" t="str">
        <f>VLOOKUP(C102,Customer_Master!A:C,2,FALSE)</f>
        <v>TCS</v>
      </c>
      <c r="M102" t="str">
        <f>VLOOKUP(C102,Customer_Master!A:C,3,FALSE)</f>
        <v>Corporate</v>
      </c>
      <c r="N102">
        <f>Table1[[#This Row],[Quantity]]*Table1[[#This Row],[Unit_Price]]</f>
        <v>3440</v>
      </c>
      <c r="O102">
        <f>(Table1[[#This Row],[Unit_Price]]-Table1[[#This Row],[Cost_Price]])*Table1[[#This Row],[Quantity]]</f>
        <v>3140</v>
      </c>
      <c r="P102">
        <f t="shared" si="1"/>
        <v>3440</v>
      </c>
      <c r="Q102" t="str">
        <f>TEXT(Table1[[#This Row],[Order_Date]],"mmm-yyyy")</f>
        <v>Jun-2024</v>
      </c>
    </row>
    <row r="103" spans="1:17" x14ac:dyDescent="0.35">
      <c r="A103" t="s">
        <v>216</v>
      </c>
      <c r="B103" t="s">
        <v>217</v>
      </c>
      <c r="C103" t="s">
        <v>21</v>
      </c>
      <c r="D103" t="s">
        <v>11</v>
      </c>
      <c r="E103" t="s">
        <v>33</v>
      </c>
      <c r="F103" t="s">
        <v>13</v>
      </c>
      <c r="G103">
        <v>4</v>
      </c>
      <c r="H103">
        <v>1366</v>
      </c>
      <c r="I103" t="str">
        <f>VLOOKUP(D103,Product_Master!A:D,2,FALSE)</f>
        <v>Chair</v>
      </c>
      <c r="J103" t="str">
        <f>VLOOKUP(D103,Product_Master!A:D,3,FALSE)</f>
        <v>Furniture</v>
      </c>
      <c r="K103">
        <f>VLOOKUP(D103,Product_Master!A:D,4,FALSE)</f>
        <v>150</v>
      </c>
      <c r="L103" t="str">
        <f>VLOOKUP(C103,Customer_Master!A:C,2,FALSE)</f>
        <v>Reliance</v>
      </c>
      <c r="M103" t="str">
        <f>VLOOKUP(C103,Customer_Master!A:C,3,FALSE)</f>
        <v>Corporate</v>
      </c>
      <c r="N103">
        <f>Table1[[#This Row],[Quantity]]*Table1[[#This Row],[Unit_Price]]</f>
        <v>5464</v>
      </c>
      <c r="O103">
        <f>(Table1[[#This Row],[Unit_Price]]-Table1[[#This Row],[Cost_Price]])*Table1[[#This Row],[Quantity]]</f>
        <v>4864</v>
      </c>
      <c r="P103">
        <f t="shared" si="1"/>
        <v>5464</v>
      </c>
      <c r="Q103" t="str">
        <f>TEXT(Table1[[#This Row],[Order_Date]],"mmm-yyyy")</f>
        <v>Nov-2024</v>
      </c>
    </row>
    <row r="104" spans="1:17" x14ac:dyDescent="0.35">
      <c r="A104" t="s">
        <v>218</v>
      </c>
      <c r="B104" t="s">
        <v>219</v>
      </c>
      <c r="C104" t="s">
        <v>21</v>
      </c>
      <c r="D104" t="s">
        <v>16</v>
      </c>
      <c r="E104" t="s">
        <v>17</v>
      </c>
      <c r="F104" t="s">
        <v>18</v>
      </c>
      <c r="G104">
        <v>3</v>
      </c>
      <c r="H104">
        <v>807</v>
      </c>
      <c r="I104" t="str">
        <f>VLOOKUP(D104,Product_Master!A:D,2,FALSE)</f>
        <v>Printer</v>
      </c>
      <c r="J104" t="str">
        <f>VLOOKUP(D104,Product_Master!A:D,3,FALSE)</f>
        <v>Electronics</v>
      </c>
      <c r="K104">
        <f>VLOOKUP(D104,Product_Master!A:D,4,FALSE)</f>
        <v>1100</v>
      </c>
      <c r="L104" t="str">
        <f>VLOOKUP(C104,Customer_Master!A:C,2,FALSE)</f>
        <v>Reliance</v>
      </c>
      <c r="M104" t="str">
        <f>VLOOKUP(C104,Customer_Master!A:C,3,FALSE)</f>
        <v>Corporate</v>
      </c>
      <c r="N104">
        <f>Table1[[#This Row],[Quantity]]*Table1[[#This Row],[Unit_Price]]</f>
        <v>2421</v>
      </c>
      <c r="O104">
        <f>(Table1[[#This Row],[Unit_Price]]-Table1[[#This Row],[Cost_Price]])*Table1[[#This Row],[Quantity]]</f>
        <v>-879</v>
      </c>
      <c r="P104">
        <f t="shared" si="1"/>
        <v>2421</v>
      </c>
      <c r="Q104" t="str">
        <f>TEXT(Table1[[#This Row],[Order_Date]],"mmm-yyyy")</f>
        <v>Jun-2024</v>
      </c>
    </row>
    <row r="105" spans="1:17" x14ac:dyDescent="0.35">
      <c r="A105" t="s">
        <v>220</v>
      </c>
      <c r="B105" t="s">
        <v>221</v>
      </c>
      <c r="C105" t="s">
        <v>10</v>
      </c>
      <c r="D105" t="s">
        <v>11</v>
      </c>
      <c r="E105" t="s">
        <v>33</v>
      </c>
      <c r="F105" t="s">
        <v>34</v>
      </c>
      <c r="G105">
        <v>5</v>
      </c>
      <c r="H105">
        <v>1779</v>
      </c>
      <c r="I105" t="str">
        <f>VLOOKUP(D105,Product_Master!A:D,2,FALSE)</f>
        <v>Chair</v>
      </c>
      <c r="J105" t="str">
        <f>VLOOKUP(D105,Product_Master!A:D,3,FALSE)</f>
        <v>Furniture</v>
      </c>
      <c r="K105">
        <f>VLOOKUP(D105,Product_Master!A:D,4,FALSE)</f>
        <v>150</v>
      </c>
      <c r="L105" t="str">
        <f>VLOOKUP(C105,Customer_Master!A:C,2,FALSE)</f>
        <v>Suresh</v>
      </c>
      <c r="M105" t="str">
        <f>VLOOKUP(C105,Customer_Master!A:C,3,FALSE)</f>
        <v>Consumer</v>
      </c>
      <c r="N105">
        <f>Table1[[#This Row],[Quantity]]*Table1[[#This Row],[Unit_Price]]</f>
        <v>8895</v>
      </c>
      <c r="O105">
        <f>(Table1[[#This Row],[Unit_Price]]-Table1[[#This Row],[Cost_Price]])*Table1[[#This Row],[Quantity]]</f>
        <v>8145</v>
      </c>
      <c r="P105">
        <f t="shared" si="1"/>
        <v>8895</v>
      </c>
      <c r="Q105" t="str">
        <f>TEXT(Table1[[#This Row],[Order_Date]],"mmm-yyyy")</f>
        <v>Sep-2024</v>
      </c>
    </row>
    <row r="106" spans="1:17" x14ac:dyDescent="0.35">
      <c r="A106" t="s">
        <v>222</v>
      </c>
      <c r="B106" t="s">
        <v>223</v>
      </c>
      <c r="C106" t="s">
        <v>42</v>
      </c>
      <c r="D106" t="s">
        <v>26</v>
      </c>
      <c r="E106" t="s">
        <v>33</v>
      </c>
      <c r="F106" t="s">
        <v>23</v>
      </c>
      <c r="G106">
        <v>1</v>
      </c>
      <c r="H106">
        <v>1713</v>
      </c>
      <c r="I106" t="str">
        <f>VLOOKUP(D106,Product_Master!A:D,2,FALSE)</f>
        <v>Laptop</v>
      </c>
      <c r="J106" t="str">
        <f>VLOOKUP(D106,Product_Master!A:D,3,FALSE)</f>
        <v>Electronics</v>
      </c>
      <c r="K106">
        <f>VLOOKUP(D106,Product_Master!A:D,4,FALSE)</f>
        <v>900</v>
      </c>
      <c r="L106" t="str">
        <f>VLOOKUP(C106,Customer_Master!A:C,2,FALSE)</f>
        <v>Ramesh</v>
      </c>
      <c r="M106" t="str">
        <f>VLOOKUP(C106,Customer_Master!A:C,3,FALSE)</f>
        <v>Consumer</v>
      </c>
      <c r="N106">
        <f>Table1[[#This Row],[Quantity]]*Table1[[#This Row],[Unit_Price]]</f>
        <v>1713</v>
      </c>
      <c r="O106">
        <f>(Table1[[#This Row],[Unit_Price]]-Table1[[#This Row],[Cost_Price]])*Table1[[#This Row],[Quantity]]</f>
        <v>813</v>
      </c>
      <c r="P106">
        <f t="shared" si="1"/>
        <v>1713</v>
      </c>
      <c r="Q106" t="str">
        <f>TEXT(Table1[[#This Row],[Order_Date]],"mmm-yyyy")</f>
        <v>Sep-2024</v>
      </c>
    </row>
    <row r="107" spans="1:17" x14ac:dyDescent="0.35">
      <c r="A107" t="s">
        <v>224</v>
      </c>
      <c r="B107" t="s">
        <v>55</v>
      </c>
      <c r="C107" t="s">
        <v>10</v>
      </c>
      <c r="D107" t="s">
        <v>16</v>
      </c>
      <c r="E107" t="s">
        <v>17</v>
      </c>
      <c r="F107" t="s">
        <v>18</v>
      </c>
      <c r="G107">
        <v>1</v>
      </c>
      <c r="H107">
        <v>1069</v>
      </c>
      <c r="I107" t="str">
        <f>VLOOKUP(D107,Product_Master!A:D,2,FALSE)</f>
        <v>Printer</v>
      </c>
      <c r="J107" t="str">
        <f>VLOOKUP(D107,Product_Master!A:D,3,FALSE)</f>
        <v>Electronics</v>
      </c>
      <c r="K107">
        <f>VLOOKUP(D107,Product_Master!A:D,4,FALSE)</f>
        <v>1100</v>
      </c>
      <c r="L107" t="str">
        <f>VLOOKUP(C107,Customer_Master!A:C,2,FALSE)</f>
        <v>Suresh</v>
      </c>
      <c r="M107" t="str">
        <f>VLOOKUP(C107,Customer_Master!A:C,3,FALSE)</f>
        <v>Consumer</v>
      </c>
      <c r="N107">
        <f>Table1[[#This Row],[Quantity]]*Table1[[#This Row],[Unit_Price]]</f>
        <v>1069</v>
      </c>
      <c r="O107">
        <f>(Table1[[#This Row],[Unit_Price]]-Table1[[#This Row],[Cost_Price]])*Table1[[#This Row],[Quantity]]</f>
        <v>-31</v>
      </c>
      <c r="P107">
        <f t="shared" si="1"/>
        <v>1069</v>
      </c>
      <c r="Q107" t="str">
        <f>TEXT(Table1[[#This Row],[Order_Date]],"mmm-yyyy")</f>
        <v>Feb-2024</v>
      </c>
    </row>
    <row r="108" spans="1:17" x14ac:dyDescent="0.35">
      <c r="A108" t="s">
        <v>225</v>
      </c>
      <c r="B108" t="s">
        <v>226</v>
      </c>
      <c r="C108" t="s">
        <v>42</v>
      </c>
      <c r="D108" t="s">
        <v>26</v>
      </c>
      <c r="E108" t="s">
        <v>27</v>
      </c>
      <c r="F108" t="s">
        <v>23</v>
      </c>
      <c r="G108">
        <v>9</v>
      </c>
      <c r="H108">
        <v>1179</v>
      </c>
      <c r="I108" t="str">
        <f>VLOOKUP(D108,Product_Master!A:D,2,FALSE)</f>
        <v>Laptop</v>
      </c>
      <c r="J108" t="str">
        <f>VLOOKUP(D108,Product_Master!A:D,3,FALSE)</f>
        <v>Electronics</v>
      </c>
      <c r="K108">
        <f>VLOOKUP(D108,Product_Master!A:D,4,FALSE)</f>
        <v>900</v>
      </c>
      <c r="L108" t="str">
        <f>VLOOKUP(C108,Customer_Master!A:C,2,FALSE)</f>
        <v>Ramesh</v>
      </c>
      <c r="M108" t="str">
        <f>VLOOKUP(C108,Customer_Master!A:C,3,FALSE)</f>
        <v>Consumer</v>
      </c>
      <c r="N108">
        <f>Table1[[#This Row],[Quantity]]*Table1[[#This Row],[Unit_Price]]</f>
        <v>10611</v>
      </c>
      <c r="O108">
        <f>(Table1[[#This Row],[Unit_Price]]-Table1[[#This Row],[Cost_Price]])*Table1[[#This Row],[Quantity]]</f>
        <v>2511</v>
      </c>
      <c r="P108">
        <f t="shared" si="1"/>
        <v>10611</v>
      </c>
      <c r="Q108" t="str">
        <f>TEXT(Table1[[#This Row],[Order_Date]],"mmm-yyyy")</f>
        <v>May-2024</v>
      </c>
    </row>
    <row r="109" spans="1:17" x14ac:dyDescent="0.35">
      <c r="A109" t="s">
        <v>227</v>
      </c>
      <c r="B109" t="s">
        <v>228</v>
      </c>
      <c r="C109" t="s">
        <v>10</v>
      </c>
      <c r="D109" t="s">
        <v>37</v>
      </c>
      <c r="E109" t="s">
        <v>33</v>
      </c>
      <c r="F109" t="s">
        <v>13</v>
      </c>
      <c r="G109">
        <v>7</v>
      </c>
      <c r="H109">
        <v>1569</v>
      </c>
      <c r="I109" t="str">
        <f>VLOOKUP(D109,Product_Master!A:D,2,FALSE)</f>
        <v>Mobile</v>
      </c>
      <c r="J109" t="str">
        <f>VLOOKUP(D109,Product_Master!A:D,3,FALSE)</f>
        <v>Electronics</v>
      </c>
      <c r="K109">
        <f>VLOOKUP(D109,Product_Master!A:D,4,FALSE)</f>
        <v>600</v>
      </c>
      <c r="L109" t="str">
        <f>VLOOKUP(C109,Customer_Master!A:C,2,FALSE)</f>
        <v>Suresh</v>
      </c>
      <c r="M109" t="str">
        <f>VLOOKUP(C109,Customer_Master!A:C,3,FALSE)</f>
        <v>Consumer</v>
      </c>
      <c r="N109">
        <f>Table1[[#This Row],[Quantity]]*Table1[[#This Row],[Unit_Price]]</f>
        <v>10983</v>
      </c>
      <c r="O109">
        <f>(Table1[[#This Row],[Unit_Price]]-Table1[[#This Row],[Cost_Price]])*Table1[[#This Row],[Quantity]]</f>
        <v>6783</v>
      </c>
      <c r="P109">
        <f t="shared" si="1"/>
        <v>10983</v>
      </c>
      <c r="Q109" t="str">
        <f>TEXT(Table1[[#This Row],[Order_Date]],"mmm-yyyy")</f>
        <v>Jul-2024</v>
      </c>
    </row>
    <row r="110" spans="1:17" x14ac:dyDescent="0.35">
      <c r="A110" t="s">
        <v>229</v>
      </c>
      <c r="B110" t="s">
        <v>230</v>
      </c>
      <c r="C110" t="s">
        <v>10</v>
      </c>
      <c r="D110" t="s">
        <v>37</v>
      </c>
      <c r="E110" t="s">
        <v>27</v>
      </c>
      <c r="F110" t="s">
        <v>18</v>
      </c>
      <c r="G110">
        <v>6</v>
      </c>
      <c r="H110">
        <v>1487</v>
      </c>
      <c r="I110" t="str">
        <f>VLOOKUP(D110,Product_Master!A:D,2,FALSE)</f>
        <v>Mobile</v>
      </c>
      <c r="J110" t="str">
        <f>VLOOKUP(D110,Product_Master!A:D,3,FALSE)</f>
        <v>Electronics</v>
      </c>
      <c r="K110">
        <f>VLOOKUP(D110,Product_Master!A:D,4,FALSE)</f>
        <v>600</v>
      </c>
      <c r="L110" t="str">
        <f>VLOOKUP(C110,Customer_Master!A:C,2,FALSE)</f>
        <v>Suresh</v>
      </c>
      <c r="M110" t="str">
        <f>VLOOKUP(C110,Customer_Master!A:C,3,FALSE)</f>
        <v>Consumer</v>
      </c>
      <c r="N110">
        <f>Table1[[#This Row],[Quantity]]*Table1[[#This Row],[Unit_Price]]</f>
        <v>8922</v>
      </c>
      <c r="O110">
        <f>(Table1[[#This Row],[Unit_Price]]-Table1[[#This Row],[Cost_Price]])*Table1[[#This Row],[Quantity]]</f>
        <v>5322</v>
      </c>
      <c r="P110">
        <f t="shared" si="1"/>
        <v>8922</v>
      </c>
      <c r="Q110" t="str">
        <f>TEXT(Table1[[#This Row],[Order_Date]],"mmm-yyyy")</f>
        <v>Jan-2024</v>
      </c>
    </row>
    <row r="111" spans="1:17" x14ac:dyDescent="0.35">
      <c r="A111" t="s">
        <v>231</v>
      </c>
      <c r="B111" t="s">
        <v>41</v>
      </c>
      <c r="C111" t="s">
        <v>10</v>
      </c>
      <c r="D111" t="s">
        <v>22</v>
      </c>
      <c r="E111" t="s">
        <v>12</v>
      </c>
      <c r="F111" t="s">
        <v>23</v>
      </c>
      <c r="G111">
        <v>10</v>
      </c>
      <c r="H111">
        <v>1542</v>
      </c>
      <c r="I111" t="str">
        <f>VLOOKUP(D111,Product_Master!A:D,2,FALSE)</f>
        <v>Desk</v>
      </c>
      <c r="J111" t="str">
        <f>VLOOKUP(D111,Product_Master!A:D,3,FALSE)</f>
        <v>Furniture</v>
      </c>
      <c r="K111">
        <f>VLOOKUP(D111,Product_Master!A:D,4,FALSE)</f>
        <v>300</v>
      </c>
      <c r="L111" t="str">
        <f>VLOOKUP(C111,Customer_Master!A:C,2,FALSE)</f>
        <v>Suresh</v>
      </c>
      <c r="M111" t="str">
        <f>VLOOKUP(C111,Customer_Master!A:C,3,FALSE)</f>
        <v>Consumer</v>
      </c>
      <c r="N111">
        <f>Table1[[#This Row],[Quantity]]*Table1[[#This Row],[Unit_Price]]</f>
        <v>15420</v>
      </c>
      <c r="O111">
        <f>(Table1[[#This Row],[Unit_Price]]-Table1[[#This Row],[Cost_Price]])*Table1[[#This Row],[Quantity]]</f>
        <v>12420</v>
      </c>
      <c r="P111">
        <f t="shared" si="1"/>
        <v>15420</v>
      </c>
      <c r="Q111" t="str">
        <f>TEXT(Table1[[#This Row],[Order_Date]],"mmm-yyyy")</f>
        <v>Apr-2024</v>
      </c>
    </row>
    <row r="112" spans="1:17" x14ac:dyDescent="0.35">
      <c r="A112" t="s">
        <v>232</v>
      </c>
      <c r="B112" t="s">
        <v>233</v>
      </c>
      <c r="C112" t="s">
        <v>42</v>
      </c>
      <c r="D112" t="s">
        <v>37</v>
      </c>
      <c r="E112" t="s">
        <v>12</v>
      </c>
      <c r="F112" t="s">
        <v>18</v>
      </c>
      <c r="G112">
        <v>8</v>
      </c>
      <c r="H112">
        <v>950</v>
      </c>
      <c r="I112" t="str">
        <f>VLOOKUP(D112,Product_Master!A:D,2,FALSE)</f>
        <v>Mobile</v>
      </c>
      <c r="J112" t="str">
        <f>VLOOKUP(D112,Product_Master!A:D,3,FALSE)</f>
        <v>Electronics</v>
      </c>
      <c r="K112">
        <f>VLOOKUP(D112,Product_Master!A:D,4,FALSE)</f>
        <v>600</v>
      </c>
      <c r="L112" t="str">
        <f>VLOOKUP(C112,Customer_Master!A:C,2,FALSE)</f>
        <v>Ramesh</v>
      </c>
      <c r="M112" t="str">
        <f>VLOOKUP(C112,Customer_Master!A:C,3,FALSE)</f>
        <v>Consumer</v>
      </c>
      <c r="N112">
        <f>Table1[[#This Row],[Quantity]]*Table1[[#This Row],[Unit_Price]]</f>
        <v>7600</v>
      </c>
      <c r="O112">
        <f>(Table1[[#This Row],[Unit_Price]]-Table1[[#This Row],[Cost_Price]])*Table1[[#This Row],[Quantity]]</f>
        <v>2800</v>
      </c>
      <c r="P112">
        <f t="shared" si="1"/>
        <v>7600</v>
      </c>
      <c r="Q112" t="str">
        <f>TEXT(Table1[[#This Row],[Order_Date]],"mmm-yyyy")</f>
        <v>Aug-2024</v>
      </c>
    </row>
    <row r="113" spans="1:17" x14ac:dyDescent="0.35">
      <c r="A113" t="s">
        <v>234</v>
      </c>
      <c r="B113" t="s">
        <v>235</v>
      </c>
      <c r="C113" t="s">
        <v>30</v>
      </c>
      <c r="D113" t="s">
        <v>26</v>
      </c>
      <c r="E113" t="s">
        <v>17</v>
      </c>
      <c r="F113" t="s">
        <v>34</v>
      </c>
      <c r="G113">
        <v>8</v>
      </c>
      <c r="H113">
        <v>1079</v>
      </c>
      <c r="I113" t="str">
        <f>VLOOKUP(D113,Product_Master!A:D,2,FALSE)</f>
        <v>Laptop</v>
      </c>
      <c r="J113" t="str">
        <f>VLOOKUP(D113,Product_Master!A:D,3,FALSE)</f>
        <v>Electronics</v>
      </c>
      <c r="K113">
        <f>VLOOKUP(D113,Product_Master!A:D,4,FALSE)</f>
        <v>900</v>
      </c>
      <c r="L113" t="str">
        <f>VLOOKUP(C113,Customer_Master!A:C,2,FALSE)</f>
        <v>Infosys</v>
      </c>
      <c r="M113" t="str">
        <f>VLOOKUP(C113,Customer_Master!A:C,3,FALSE)</f>
        <v>Corporate</v>
      </c>
      <c r="N113">
        <f>Table1[[#This Row],[Quantity]]*Table1[[#This Row],[Unit_Price]]</f>
        <v>8632</v>
      </c>
      <c r="O113">
        <f>(Table1[[#This Row],[Unit_Price]]-Table1[[#This Row],[Cost_Price]])*Table1[[#This Row],[Quantity]]</f>
        <v>1432</v>
      </c>
      <c r="P113">
        <f t="shared" si="1"/>
        <v>8632</v>
      </c>
      <c r="Q113" t="str">
        <f>TEXT(Table1[[#This Row],[Order_Date]],"mmm-yyyy")</f>
        <v>Dec-2024</v>
      </c>
    </row>
    <row r="114" spans="1:17" x14ac:dyDescent="0.35">
      <c r="A114" t="s">
        <v>236</v>
      </c>
      <c r="B114" t="s">
        <v>237</v>
      </c>
      <c r="C114" t="s">
        <v>42</v>
      </c>
      <c r="D114" t="s">
        <v>16</v>
      </c>
      <c r="E114" t="s">
        <v>12</v>
      </c>
      <c r="F114" t="s">
        <v>34</v>
      </c>
      <c r="G114">
        <v>5</v>
      </c>
      <c r="H114">
        <v>1544</v>
      </c>
      <c r="I114" t="str">
        <f>VLOOKUP(D114,Product_Master!A:D,2,FALSE)</f>
        <v>Printer</v>
      </c>
      <c r="J114" t="str">
        <f>VLOOKUP(D114,Product_Master!A:D,3,FALSE)</f>
        <v>Electronics</v>
      </c>
      <c r="K114">
        <f>VLOOKUP(D114,Product_Master!A:D,4,FALSE)</f>
        <v>1100</v>
      </c>
      <c r="L114" t="str">
        <f>VLOOKUP(C114,Customer_Master!A:C,2,FALSE)</f>
        <v>Ramesh</v>
      </c>
      <c r="M114" t="str">
        <f>VLOOKUP(C114,Customer_Master!A:C,3,FALSE)</f>
        <v>Consumer</v>
      </c>
      <c r="N114">
        <f>Table1[[#This Row],[Quantity]]*Table1[[#This Row],[Unit_Price]]</f>
        <v>7720</v>
      </c>
      <c r="O114">
        <f>(Table1[[#This Row],[Unit_Price]]-Table1[[#This Row],[Cost_Price]])*Table1[[#This Row],[Quantity]]</f>
        <v>2220</v>
      </c>
      <c r="P114">
        <f t="shared" si="1"/>
        <v>7720</v>
      </c>
      <c r="Q114" t="str">
        <f>TEXT(Table1[[#This Row],[Order_Date]],"mmm-yyyy")</f>
        <v>Nov-2024</v>
      </c>
    </row>
    <row r="115" spans="1:17" x14ac:dyDescent="0.35">
      <c r="A115" t="s">
        <v>238</v>
      </c>
      <c r="B115" t="s">
        <v>109</v>
      </c>
      <c r="C115" t="s">
        <v>42</v>
      </c>
      <c r="D115" t="s">
        <v>22</v>
      </c>
      <c r="E115" t="s">
        <v>27</v>
      </c>
      <c r="F115" t="s">
        <v>18</v>
      </c>
      <c r="G115">
        <v>1</v>
      </c>
      <c r="H115">
        <v>1851</v>
      </c>
      <c r="I115" t="str">
        <f>VLOOKUP(D115,Product_Master!A:D,2,FALSE)</f>
        <v>Desk</v>
      </c>
      <c r="J115" t="str">
        <f>VLOOKUP(D115,Product_Master!A:D,3,FALSE)</f>
        <v>Furniture</v>
      </c>
      <c r="K115">
        <f>VLOOKUP(D115,Product_Master!A:D,4,FALSE)</f>
        <v>300</v>
      </c>
      <c r="L115" t="str">
        <f>VLOOKUP(C115,Customer_Master!A:C,2,FALSE)</f>
        <v>Ramesh</v>
      </c>
      <c r="M115" t="str">
        <f>VLOOKUP(C115,Customer_Master!A:C,3,FALSE)</f>
        <v>Consumer</v>
      </c>
      <c r="N115">
        <f>Table1[[#This Row],[Quantity]]*Table1[[#This Row],[Unit_Price]]</f>
        <v>1851</v>
      </c>
      <c r="O115">
        <f>(Table1[[#This Row],[Unit_Price]]-Table1[[#This Row],[Cost_Price]])*Table1[[#This Row],[Quantity]]</f>
        <v>1551</v>
      </c>
      <c r="P115">
        <f t="shared" si="1"/>
        <v>1851</v>
      </c>
      <c r="Q115" t="str">
        <f>TEXT(Table1[[#This Row],[Order_Date]],"mmm-yyyy")</f>
        <v>May-2024</v>
      </c>
    </row>
    <row r="116" spans="1:17" x14ac:dyDescent="0.35">
      <c r="A116" t="s">
        <v>239</v>
      </c>
      <c r="B116" t="s">
        <v>240</v>
      </c>
      <c r="C116" t="s">
        <v>10</v>
      </c>
      <c r="D116" t="s">
        <v>16</v>
      </c>
      <c r="E116" t="s">
        <v>12</v>
      </c>
      <c r="F116" t="s">
        <v>23</v>
      </c>
      <c r="G116">
        <v>7</v>
      </c>
      <c r="H116">
        <v>1377</v>
      </c>
      <c r="I116" t="str">
        <f>VLOOKUP(D116,Product_Master!A:D,2,FALSE)</f>
        <v>Printer</v>
      </c>
      <c r="J116" t="str">
        <f>VLOOKUP(D116,Product_Master!A:D,3,FALSE)</f>
        <v>Electronics</v>
      </c>
      <c r="K116">
        <f>VLOOKUP(D116,Product_Master!A:D,4,FALSE)</f>
        <v>1100</v>
      </c>
      <c r="L116" t="str">
        <f>VLOOKUP(C116,Customer_Master!A:C,2,FALSE)</f>
        <v>Suresh</v>
      </c>
      <c r="M116" t="str">
        <f>VLOOKUP(C116,Customer_Master!A:C,3,FALSE)</f>
        <v>Consumer</v>
      </c>
      <c r="N116">
        <f>Table1[[#This Row],[Quantity]]*Table1[[#This Row],[Unit_Price]]</f>
        <v>9639</v>
      </c>
      <c r="O116">
        <f>(Table1[[#This Row],[Unit_Price]]-Table1[[#This Row],[Cost_Price]])*Table1[[#This Row],[Quantity]]</f>
        <v>1939</v>
      </c>
      <c r="P116">
        <f t="shared" si="1"/>
        <v>9639</v>
      </c>
      <c r="Q116" t="str">
        <f>TEXT(Table1[[#This Row],[Order_Date]],"mmm-yyyy")</f>
        <v>Dec-2024</v>
      </c>
    </row>
    <row r="117" spans="1:17" x14ac:dyDescent="0.35">
      <c r="A117" t="s">
        <v>241</v>
      </c>
      <c r="B117" t="s">
        <v>242</v>
      </c>
      <c r="C117" t="s">
        <v>21</v>
      </c>
      <c r="D117" t="s">
        <v>11</v>
      </c>
      <c r="E117" t="s">
        <v>27</v>
      </c>
      <c r="F117" t="s">
        <v>23</v>
      </c>
      <c r="G117">
        <v>8</v>
      </c>
      <c r="H117">
        <v>1702</v>
      </c>
      <c r="I117" t="str">
        <f>VLOOKUP(D117,Product_Master!A:D,2,FALSE)</f>
        <v>Chair</v>
      </c>
      <c r="J117" t="str">
        <f>VLOOKUP(D117,Product_Master!A:D,3,FALSE)</f>
        <v>Furniture</v>
      </c>
      <c r="K117">
        <f>VLOOKUP(D117,Product_Master!A:D,4,FALSE)</f>
        <v>150</v>
      </c>
      <c r="L117" t="str">
        <f>VLOOKUP(C117,Customer_Master!A:C,2,FALSE)</f>
        <v>Reliance</v>
      </c>
      <c r="M117" t="str">
        <f>VLOOKUP(C117,Customer_Master!A:C,3,FALSE)</f>
        <v>Corporate</v>
      </c>
      <c r="N117">
        <f>Table1[[#This Row],[Quantity]]*Table1[[#This Row],[Unit_Price]]</f>
        <v>13616</v>
      </c>
      <c r="O117">
        <f>(Table1[[#This Row],[Unit_Price]]-Table1[[#This Row],[Cost_Price]])*Table1[[#This Row],[Quantity]]</f>
        <v>12416</v>
      </c>
      <c r="P117">
        <f t="shared" si="1"/>
        <v>13616</v>
      </c>
      <c r="Q117" t="str">
        <f>TEXT(Table1[[#This Row],[Order_Date]],"mmm-yyyy")</f>
        <v>May-2024</v>
      </c>
    </row>
    <row r="118" spans="1:17" x14ac:dyDescent="0.35">
      <c r="A118" t="s">
        <v>243</v>
      </c>
      <c r="B118" t="s">
        <v>244</v>
      </c>
      <c r="C118" t="s">
        <v>21</v>
      </c>
      <c r="D118" t="s">
        <v>22</v>
      </c>
      <c r="E118" t="s">
        <v>12</v>
      </c>
      <c r="F118" t="s">
        <v>13</v>
      </c>
      <c r="G118">
        <v>5</v>
      </c>
      <c r="H118">
        <v>1672</v>
      </c>
      <c r="I118" t="str">
        <f>VLOOKUP(D118,Product_Master!A:D,2,FALSE)</f>
        <v>Desk</v>
      </c>
      <c r="J118" t="str">
        <f>VLOOKUP(D118,Product_Master!A:D,3,FALSE)</f>
        <v>Furniture</v>
      </c>
      <c r="K118">
        <f>VLOOKUP(D118,Product_Master!A:D,4,FALSE)</f>
        <v>300</v>
      </c>
      <c r="L118" t="str">
        <f>VLOOKUP(C118,Customer_Master!A:C,2,FALSE)</f>
        <v>Reliance</v>
      </c>
      <c r="M118" t="str">
        <f>VLOOKUP(C118,Customer_Master!A:C,3,FALSE)</f>
        <v>Corporate</v>
      </c>
      <c r="N118">
        <f>Table1[[#This Row],[Quantity]]*Table1[[#This Row],[Unit_Price]]</f>
        <v>8360</v>
      </c>
      <c r="O118">
        <f>(Table1[[#This Row],[Unit_Price]]-Table1[[#This Row],[Cost_Price]])*Table1[[#This Row],[Quantity]]</f>
        <v>6860</v>
      </c>
      <c r="P118">
        <f t="shared" si="1"/>
        <v>8360</v>
      </c>
      <c r="Q118" t="str">
        <f>TEXT(Table1[[#This Row],[Order_Date]],"mmm-yyyy")</f>
        <v>Apr-2024</v>
      </c>
    </row>
    <row r="119" spans="1:17" x14ac:dyDescent="0.35">
      <c r="A119" t="s">
        <v>245</v>
      </c>
      <c r="B119" t="s">
        <v>246</v>
      </c>
      <c r="C119" t="s">
        <v>21</v>
      </c>
      <c r="D119" t="s">
        <v>37</v>
      </c>
      <c r="E119" t="s">
        <v>33</v>
      </c>
      <c r="F119" t="s">
        <v>23</v>
      </c>
      <c r="G119">
        <v>5</v>
      </c>
      <c r="H119">
        <v>1488</v>
      </c>
      <c r="I119" t="str">
        <f>VLOOKUP(D119,Product_Master!A:D,2,FALSE)</f>
        <v>Mobile</v>
      </c>
      <c r="J119" t="str">
        <f>VLOOKUP(D119,Product_Master!A:D,3,FALSE)</f>
        <v>Electronics</v>
      </c>
      <c r="K119">
        <f>VLOOKUP(D119,Product_Master!A:D,4,FALSE)</f>
        <v>600</v>
      </c>
      <c r="L119" t="str">
        <f>VLOOKUP(C119,Customer_Master!A:C,2,FALSE)</f>
        <v>Reliance</v>
      </c>
      <c r="M119" t="str">
        <f>VLOOKUP(C119,Customer_Master!A:C,3,FALSE)</f>
        <v>Corporate</v>
      </c>
      <c r="N119">
        <f>Table1[[#This Row],[Quantity]]*Table1[[#This Row],[Unit_Price]]</f>
        <v>7440</v>
      </c>
      <c r="O119">
        <f>(Table1[[#This Row],[Unit_Price]]-Table1[[#This Row],[Cost_Price]])*Table1[[#This Row],[Quantity]]</f>
        <v>4440</v>
      </c>
      <c r="P119">
        <f t="shared" si="1"/>
        <v>7440</v>
      </c>
      <c r="Q119" t="str">
        <f>TEXT(Table1[[#This Row],[Order_Date]],"mmm-yyyy")</f>
        <v>Jul-2024</v>
      </c>
    </row>
    <row r="120" spans="1:17" x14ac:dyDescent="0.35">
      <c r="A120" t="s">
        <v>247</v>
      </c>
      <c r="B120" t="s">
        <v>248</v>
      </c>
      <c r="C120" t="s">
        <v>42</v>
      </c>
      <c r="D120" t="s">
        <v>26</v>
      </c>
      <c r="E120" t="s">
        <v>33</v>
      </c>
      <c r="F120" t="s">
        <v>23</v>
      </c>
      <c r="G120">
        <v>6</v>
      </c>
      <c r="H120">
        <v>1382</v>
      </c>
      <c r="I120" t="str">
        <f>VLOOKUP(D120,Product_Master!A:D,2,FALSE)</f>
        <v>Laptop</v>
      </c>
      <c r="J120" t="str">
        <f>VLOOKUP(D120,Product_Master!A:D,3,FALSE)</f>
        <v>Electronics</v>
      </c>
      <c r="K120">
        <f>VLOOKUP(D120,Product_Master!A:D,4,FALSE)</f>
        <v>900</v>
      </c>
      <c r="L120" t="str">
        <f>VLOOKUP(C120,Customer_Master!A:C,2,FALSE)</f>
        <v>Ramesh</v>
      </c>
      <c r="M120" t="str">
        <f>VLOOKUP(C120,Customer_Master!A:C,3,FALSE)</f>
        <v>Consumer</v>
      </c>
      <c r="N120">
        <f>Table1[[#This Row],[Quantity]]*Table1[[#This Row],[Unit_Price]]</f>
        <v>8292</v>
      </c>
      <c r="O120">
        <f>(Table1[[#This Row],[Unit_Price]]-Table1[[#This Row],[Cost_Price]])*Table1[[#This Row],[Quantity]]</f>
        <v>2892</v>
      </c>
      <c r="P120">
        <f t="shared" si="1"/>
        <v>8292</v>
      </c>
      <c r="Q120" t="str">
        <f>TEXT(Table1[[#This Row],[Order_Date]],"mmm-yyyy")</f>
        <v>May-2024</v>
      </c>
    </row>
    <row r="121" spans="1:17" x14ac:dyDescent="0.35">
      <c r="A121" t="s">
        <v>249</v>
      </c>
      <c r="B121" t="s">
        <v>250</v>
      </c>
      <c r="C121" t="s">
        <v>21</v>
      </c>
      <c r="D121" t="s">
        <v>16</v>
      </c>
      <c r="E121" t="s">
        <v>27</v>
      </c>
      <c r="F121" t="s">
        <v>18</v>
      </c>
      <c r="G121">
        <v>10</v>
      </c>
      <c r="H121">
        <v>1148</v>
      </c>
      <c r="I121" t="str">
        <f>VLOOKUP(D121,Product_Master!A:D,2,FALSE)</f>
        <v>Printer</v>
      </c>
      <c r="J121" t="str">
        <f>VLOOKUP(D121,Product_Master!A:D,3,FALSE)</f>
        <v>Electronics</v>
      </c>
      <c r="K121">
        <f>VLOOKUP(D121,Product_Master!A:D,4,FALSE)</f>
        <v>1100</v>
      </c>
      <c r="L121" t="str">
        <f>VLOOKUP(C121,Customer_Master!A:C,2,FALSE)</f>
        <v>Reliance</v>
      </c>
      <c r="M121" t="str">
        <f>VLOOKUP(C121,Customer_Master!A:C,3,FALSE)</f>
        <v>Corporate</v>
      </c>
      <c r="N121">
        <f>Table1[[#This Row],[Quantity]]*Table1[[#This Row],[Unit_Price]]</f>
        <v>11480</v>
      </c>
      <c r="O121">
        <f>(Table1[[#This Row],[Unit_Price]]-Table1[[#This Row],[Cost_Price]])*Table1[[#This Row],[Quantity]]</f>
        <v>480</v>
      </c>
      <c r="P121">
        <f t="shared" si="1"/>
        <v>11480</v>
      </c>
      <c r="Q121" t="str">
        <f>TEXT(Table1[[#This Row],[Order_Date]],"mmm-yyyy")</f>
        <v>Jun-2024</v>
      </c>
    </row>
    <row r="122" spans="1:17" x14ac:dyDescent="0.35">
      <c r="A122" t="s">
        <v>251</v>
      </c>
      <c r="B122" t="s">
        <v>252</v>
      </c>
      <c r="C122" t="s">
        <v>30</v>
      </c>
      <c r="D122" t="s">
        <v>26</v>
      </c>
      <c r="E122" t="s">
        <v>33</v>
      </c>
      <c r="F122" t="s">
        <v>13</v>
      </c>
      <c r="G122">
        <v>2</v>
      </c>
      <c r="H122">
        <v>1114</v>
      </c>
      <c r="I122" t="str">
        <f>VLOOKUP(D122,Product_Master!A:D,2,FALSE)</f>
        <v>Laptop</v>
      </c>
      <c r="J122" t="str">
        <f>VLOOKUP(D122,Product_Master!A:D,3,FALSE)</f>
        <v>Electronics</v>
      </c>
      <c r="K122">
        <f>VLOOKUP(D122,Product_Master!A:D,4,FALSE)</f>
        <v>900</v>
      </c>
      <c r="L122" t="str">
        <f>VLOOKUP(C122,Customer_Master!A:C,2,FALSE)</f>
        <v>Infosys</v>
      </c>
      <c r="M122" t="str">
        <f>VLOOKUP(C122,Customer_Master!A:C,3,FALSE)</f>
        <v>Corporate</v>
      </c>
      <c r="N122">
        <f>Table1[[#This Row],[Quantity]]*Table1[[#This Row],[Unit_Price]]</f>
        <v>2228</v>
      </c>
      <c r="O122">
        <f>(Table1[[#This Row],[Unit_Price]]-Table1[[#This Row],[Cost_Price]])*Table1[[#This Row],[Quantity]]</f>
        <v>428</v>
      </c>
      <c r="P122">
        <f t="shared" si="1"/>
        <v>2228</v>
      </c>
      <c r="Q122" t="str">
        <f>TEXT(Table1[[#This Row],[Order_Date]],"mmm-yyyy")</f>
        <v>Sep-2024</v>
      </c>
    </row>
    <row r="123" spans="1:17" x14ac:dyDescent="0.35">
      <c r="A123" t="s">
        <v>253</v>
      </c>
      <c r="B123" t="s">
        <v>128</v>
      </c>
      <c r="C123" t="s">
        <v>45</v>
      </c>
      <c r="D123" t="s">
        <v>16</v>
      </c>
      <c r="E123" t="s">
        <v>12</v>
      </c>
      <c r="F123" t="s">
        <v>23</v>
      </c>
      <c r="G123">
        <v>10</v>
      </c>
      <c r="H123">
        <v>1530</v>
      </c>
      <c r="I123" t="str">
        <f>VLOOKUP(D123,Product_Master!A:D,2,FALSE)</f>
        <v>Printer</v>
      </c>
      <c r="J123" t="str">
        <f>VLOOKUP(D123,Product_Master!A:D,3,FALSE)</f>
        <v>Electronics</v>
      </c>
      <c r="K123">
        <f>VLOOKUP(D123,Product_Master!A:D,4,FALSE)</f>
        <v>1100</v>
      </c>
      <c r="L123" t="str">
        <f>VLOOKUP(C123,Customer_Master!A:C,2,FALSE)</f>
        <v>TCS</v>
      </c>
      <c r="M123" t="str">
        <f>VLOOKUP(C123,Customer_Master!A:C,3,FALSE)</f>
        <v>Corporate</v>
      </c>
      <c r="N123">
        <f>Table1[[#This Row],[Quantity]]*Table1[[#This Row],[Unit_Price]]</f>
        <v>15300</v>
      </c>
      <c r="O123">
        <f>(Table1[[#This Row],[Unit_Price]]-Table1[[#This Row],[Cost_Price]])*Table1[[#This Row],[Quantity]]</f>
        <v>4300</v>
      </c>
      <c r="P123">
        <f t="shared" si="1"/>
        <v>15300</v>
      </c>
      <c r="Q123" t="str">
        <f>TEXT(Table1[[#This Row],[Order_Date]],"mmm-yyyy")</f>
        <v>Aug-2024</v>
      </c>
    </row>
    <row r="124" spans="1:17" x14ac:dyDescent="0.35">
      <c r="A124" t="s">
        <v>254</v>
      </c>
      <c r="B124" t="s">
        <v>255</v>
      </c>
      <c r="C124" t="s">
        <v>21</v>
      </c>
      <c r="D124" t="s">
        <v>37</v>
      </c>
      <c r="E124" t="s">
        <v>17</v>
      </c>
      <c r="F124" t="s">
        <v>13</v>
      </c>
      <c r="G124">
        <v>5</v>
      </c>
      <c r="H124">
        <v>1758</v>
      </c>
      <c r="I124" t="str">
        <f>VLOOKUP(D124,Product_Master!A:D,2,FALSE)</f>
        <v>Mobile</v>
      </c>
      <c r="J124" t="str">
        <f>VLOOKUP(D124,Product_Master!A:D,3,FALSE)</f>
        <v>Electronics</v>
      </c>
      <c r="K124">
        <f>VLOOKUP(D124,Product_Master!A:D,4,FALSE)</f>
        <v>600</v>
      </c>
      <c r="L124" t="str">
        <f>VLOOKUP(C124,Customer_Master!A:C,2,FALSE)</f>
        <v>Reliance</v>
      </c>
      <c r="M124" t="str">
        <f>VLOOKUP(C124,Customer_Master!A:C,3,FALSE)</f>
        <v>Corporate</v>
      </c>
      <c r="N124">
        <f>Table1[[#This Row],[Quantity]]*Table1[[#This Row],[Unit_Price]]</f>
        <v>8790</v>
      </c>
      <c r="O124">
        <f>(Table1[[#This Row],[Unit_Price]]-Table1[[#This Row],[Cost_Price]])*Table1[[#This Row],[Quantity]]</f>
        <v>5790</v>
      </c>
      <c r="P124">
        <f t="shared" si="1"/>
        <v>8790</v>
      </c>
      <c r="Q124" t="str">
        <f>TEXT(Table1[[#This Row],[Order_Date]],"mmm-yyyy")</f>
        <v>Jul-2024</v>
      </c>
    </row>
    <row r="125" spans="1:17" x14ac:dyDescent="0.35">
      <c r="A125" t="s">
        <v>256</v>
      </c>
      <c r="B125" t="s">
        <v>257</v>
      </c>
      <c r="C125" t="s">
        <v>45</v>
      </c>
      <c r="D125" t="s">
        <v>16</v>
      </c>
      <c r="E125" t="s">
        <v>33</v>
      </c>
      <c r="F125" t="s">
        <v>34</v>
      </c>
      <c r="G125">
        <v>1</v>
      </c>
      <c r="H125">
        <v>1175</v>
      </c>
      <c r="I125" t="str">
        <f>VLOOKUP(D125,Product_Master!A:D,2,FALSE)</f>
        <v>Printer</v>
      </c>
      <c r="J125" t="str">
        <f>VLOOKUP(D125,Product_Master!A:D,3,FALSE)</f>
        <v>Electronics</v>
      </c>
      <c r="K125">
        <f>VLOOKUP(D125,Product_Master!A:D,4,FALSE)</f>
        <v>1100</v>
      </c>
      <c r="L125" t="str">
        <f>VLOOKUP(C125,Customer_Master!A:C,2,FALSE)</f>
        <v>TCS</v>
      </c>
      <c r="M125" t="str">
        <f>VLOOKUP(C125,Customer_Master!A:C,3,FALSE)</f>
        <v>Corporate</v>
      </c>
      <c r="N125">
        <f>Table1[[#This Row],[Quantity]]*Table1[[#This Row],[Unit_Price]]</f>
        <v>1175</v>
      </c>
      <c r="O125">
        <f>(Table1[[#This Row],[Unit_Price]]-Table1[[#This Row],[Cost_Price]])*Table1[[#This Row],[Quantity]]</f>
        <v>75</v>
      </c>
      <c r="P125">
        <f t="shared" si="1"/>
        <v>1175</v>
      </c>
      <c r="Q125" t="str">
        <f>TEXT(Table1[[#This Row],[Order_Date]],"mmm-yyyy")</f>
        <v>May-2024</v>
      </c>
    </row>
    <row r="126" spans="1:17" x14ac:dyDescent="0.35">
      <c r="A126" t="s">
        <v>258</v>
      </c>
      <c r="B126" t="s">
        <v>259</v>
      </c>
      <c r="C126" t="s">
        <v>10</v>
      </c>
      <c r="D126" t="s">
        <v>37</v>
      </c>
      <c r="E126" t="s">
        <v>33</v>
      </c>
      <c r="F126" t="s">
        <v>34</v>
      </c>
      <c r="G126">
        <v>5</v>
      </c>
      <c r="H126">
        <v>1598</v>
      </c>
      <c r="I126" t="str">
        <f>VLOOKUP(D126,Product_Master!A:D,2,FALSE)</f>
        <v>Mobile</v>
      </c>
      <c r="J126" t="str">
        <f>VLOOKUP(D126,Product_Master!A:D,3,FALSE)</f>
        <v>Electronics</v>
      </c>
      <c r="K126">
        <f>VLOOKUP(D126,Product_Master!A:D,4,FALSE)</f>
        <v>600</v>
      </c>
      <c r="L126" t="str">
        <f>VLOOKUP(C126,Customer_Master!A:C,2,FALSE)</f>
        <v>Suresh</v>
      </c>
      <c r="M126" t="str">
        <f>VLOOKUP(C126,Customer_Master!A:C,3,FALSE)</f>
        <v>Consumer</v>
      </c>
      <c r="N126">
        <f>Table1[[#This Row],[Quantity]]*Table1[[#This Row],[Unit_Price]]</f>
        <v>7990</v>
      </c>
      <c r="O126">
        <f>(Table1[[#This Row],[Unit_Price]]-Table1[[#This Row],[Cost_Price]])*Table1[[#This Row],[Quantity]]</f>
        <v>4990</v>
      </c>
      <c r="P126">
        <f t="shared" si="1"/>
        <v>7990</v>
      </c>
      <c r="Q126" t="str">
        <f>TEXT(Table1[[#This Row],[Order_Date]],"mmm-yyyy")</f>
        <v>Apr-2024</v>
      </c>
    </row>
    <row r="127" spans="1:17" x14ac:dyDescent="0.35">
      <c r="A127" t="s">
        <v>260</v>
      </c>
      <c r="B127" t="s">
        <v>261</v>
      </c>
      <c r="C127" t="s">
        <v>10</v>
      </c>
      <c r="D127" t="s">
        <v>22</v>
      </c>
      <c r="E127" t="s">
        <v>12</v>
      </c>
      <c r="F127" t="s">
        <v>18</v>
      </c>
      <c r="G127">
        <v>3</v>
      </c>
      <c r="H127">
        <v>888</v>
      </c>
      <c r="I127" t="str">
        <f>VLOOKUP(D127,Product_Master!A:D,2,FALSE)</f>
        <v>Desk</v>
      </c>
      <c r="J127" t="str">
        <f>VLOOKUP(D127,Product_Master!A:D,3,FALSE)</f>
        <v>Furniture</v>
      </c>
      <c r="K127">
        <f>VLOOKUP(D127,Product_Master!A:D,4,FALSE)</f>
        <v>300</v>
      </c>
      <c r="L127" t="str">
        <f>VLOOKUP(C127,Customer_Master!A:C,2,FALSE)</f>
        <v>Suresh</v>
      </c>
      <c r="M127" t="str">
        <f>VLOOKUP(C127,Customer_Master!A:C,3,FALSE)</f>
        <v>Consumer</v>
      </c>
      <c r="N127">
        <f>Table1[[#This Row],[Quantity]]*Table1[[#This Row],[Unit_Price]]</f>
        <v>2664</v>
      </c>
      <c r="O127">
        <f>(Table1[[#This Row],[Unit_Price]]-Table1[[#This Row],[Cost_Price]])*Table1[[#This Row],[Quantity]]</f>
        <v>1764</v>
      </c>
      <c r="P127">
        <f t="shared" si="1"/>
        <v>2664</v>
      </c>
      <c r="Q127" t="str">
        <f>TEXT(Table1[[#This Row],[Order_Date]],"mmm-yyyy")</f>
        <v>Mar-2024</v>
      </c>
    </row>
    <row r="128" spans="1:17" x14ac:dyDescent="0.35">
      <c r="A128" t="s">
        <v>262</v>
      </c>
      <c r="B128" t="s">
        <v>219</v>
      </c>
      <c r="C128" t="s">
        <v>42</v>
      </c>
      <c r="D128" t="s">
        <v>37</v>
      </c>
      <c r="E128" t="s">
        <v>17</v>
      </c>
      <c r="F128" t="s">
        <v>18</v>
      </c>
      <c r="G128">
        <v>7</v>
      </c>
      <c r="H128">
        <v>1297</v>
      </c>
      <c r="I128" t="str">
        <f>VLOOKUP(D128,Product_Master!A:D,2,FALSE)</f>
        <v>Mobile</v>
      </c>
      <c r="J128" t="str">
        <f>VLOOKUP(D128,Product_Master!A:D,3,FALSE)</f>
        <v>Electronics</v>
      </c>
      <c r="K128">
        <f>VLOOKUP(D128,Product_Master!A:D,4,FALSE)</f>
        <v>600</v>
      </c>
      <c r="L128" t="str">
        <f>VLOOKUP(C128,Customer_Master!A:C,2,FALSE)</f>
        <v>Ramesh</v>
      </c>
      <c r="M128" t="str">
        <f>VLOOKUP(C128,Customer_Master!A:C,3,FALSE)</f>
        <v>Consumer</v>
      </c>
      <c r="N128">
        <f>Table1[[#This Row],[Quantity]]*Table1[[#This Row],[Unit_Price]]</f>
        <v>9079</v>
      </c>
      <c r="O128">
        <f>(Table1[[#This Row],[Unit_Price]]-Table1[[#This Row],[Cost_Price]])*Table1[[#This Row],[Quantity]]</f>
        <v>4879</v>
      </c>
      <c r="P128">
        <f t="shared" si="1"/>
        <v>9079</v>
      </c>
      <c r="Q128" t="str">
        <f>TEXT(Table1[[#This Row],[Order_Date]],"mmm-yyyy")</f>
        <v>Jun-2024</v>
      </c>
    </row>
    <row r="129" spans="1:17" x14ac:dyDescent="0.35">
      <c r="A129" t="s">
        <v>263</v>
      </c>
      <c r="B129" t="s">
        <v>246</v>
      </c>
      <c r="C129" t="s">
        <v>45</v>
      </c>
      <c r="D129" t="s">
        <v>11</v>
      </c>
      <c r="E129" t="s">
        <v>33</v>
      </c>
      <c r="F129" t="s">
        <v>18</v>
      </c>
      <c r="G129">
        <v>9</v>
      </c>
      <c r="H129">
        <v>1469</v>
      </c>
      <c r="I129" t="str">
        <f>VLOOKUP(D129,Product_Master!A:D,2,FALSE)</f>
        <v>Chair</v>
      </c>
      <c r="J129" t="str">
        <f>VLOOKUP(D129,Product_Master!A:D,3,FALSE)</f>
        <v>Furniture</v>
      </c>
      <c r="K129">
        <f>VLOOKUP(D129,Product_Master!A:D,4,FALSE)</f>
        <v>150</v>
      </c>
      <c r="L129" t="str">
        <f>VLOOKUP(C129,Customer_Master!A:C,2,FALSE)</f>
        <v>TCS</v>
      </c>
      <c r="M129" t="str">
        <f>VLOOKUP(C129,Customer_Master!A:C,3,FALSE)</f>
        <v>Corporate</v>
      </c>
      <c r="N129">
        <f>Table1[[#This Row],[Quantity]]*Table1[[#This Row],[Unit_Price]]</f>
        <v>13221</v>
      </c>
      <c r="O129">
        <f>(Table1[[#This Row],[Unit_Price]]-Table1[[#This Row],[Cost_Price]])*Table1[[#This Row],[Quantity]]</f>
        <v>11871</v>
      </c>
      <c r="P129">
        <f t="shared" si="1"/>
        <v>13221</v>
      </c>
      <c r="Q129" t="str">
        <f>TEXT(Table1[[#This Row],[Order_Date]],"mmm-yyyy")</f>
        <v>Jul-2024</v>
      </c>
    </row>
    <row r="130" spans="1:17" x14ac:dyDescent="0.35">
      <c r="A130" t="s">
        <v>264</v>
      </c>
      <c r="B130" t="s">
        <v>265</v>
      </c>
      <c r="C130" t="s">
        <v>45</v>
      </c>
      <c r="D130" t="s">
        <v>22</v>
      </c>
      <c r="E130" t="s">
        <v>12</v>
      </c>
      <c r="F130" t="s">
        <v>23</v>
      </c>
      <c r="G130">
        <v>5</v>
      </c>
      <c r="H130">
        <v>1444</v>
      </c>
      <c r="I130" t="str">
        <f>VLOOKUP(D130,Product_Master!A:D,2,FALSE)</f>
        <v>Desk</v>
      </c>
      <c r="J130" t="str">
        <f>VLOOKUP(D130,Product_Master!A:D,3,FALSE)</f>
        <v>Furniture</v>
      </c>
      <c r="K130">
        <f>VLOOKUP(D130,Product_Master!A:D,4,FALSE)</f>
        <v>300</v>
      </c>
      <c r="L130" t="str">
        <f>VLOOKUP(C130,Customer_Master!A:C,2,FALSE)</f>
        <v>TCS</v>
      </c>
      <c r="M130" t="str">
        <f>VLOOKUP(C130,Customer_Master!A:C,3,FALSE)</f>
        <v>Corporate</v>
      </c>
      <c r="N130">
        <f>Table1[[#This Row],[Quantity]]*Table1[[#This Row],[Unit_Price]]</f>
        <v>7220</v>
      </c>
      <c r="O130">
        <f>(Table1[[#This Row],[Unit_Price]]-Table1[[#This Row],[Cost_Price]])*Table1[[#This Row],[Quantity]]</f>
        <v>5720</v>
      </c>
      <c r="P130">
        <f t="shared" ref="P130:P193" si="2">VALUE(N130)</f>
        <v>7220</v>
      </c>
      <c r="Q130" t="str">
        <f>TEXT(Table1[[#This Row],[Order_Date]],"mmm-yyyy")</f>
        <v>Apr-2024</v>
      </c>
    </row>
    <row r="131" spans="1:17" x14ac:dyDescent="0.35">
      <c r="A131" t="s">
        <v>266</v>
      </c>
      <c r="B131" t="s">
        <v>267</v>
      </c>
      <c r="C131" t="s">
        <v>45</v>
      </c>
      <c r="D131" t="s">
        <v>11</v>
      </c>
      <c r="E131" t="s">
        <v>17</v>
      </c>
      <c r="F131" t="s">
        <v>13</v>
      </c>
      <c r="G131">
        <v>10</v>
      </c>
      <c r="H131">
        <v>1331</v>
      </c>
      <c r="I131" t="str">
        <f>VLOOKUP(D131,Product_Master!A:D,2,FALSE)</f>
        <v>Chair</v>
      </c>
      <c r="J131" t="str">
        <f>VLOOKUP(D131,Product_Master!A:D,3,FALSE)</f>
        <v>Furniture</v>
      </c>
      <c r="K131">
        <f>VLOOKUP(D131,Product_Master!A:D,4,FALSE)</f>
        <v>150</v>
      </c>
      <c r="L131" t="str">
        <f>VLOOKUP(C131,Customer_Master!A:C,2,FALSE)</f>
        <v>TCS</v>
      </c>
      <c r="M131" t="str">
        <f>VLOOKUP(C131,Customer_Master!A:C,3,FALSE)</f>
        <v>Corporate</v>
      </c>
      <c r="N131">
        <f>Table1[[#This Row],[Quantity]]*Table1[[#This Row],[Unit_Price]]</f>
        <v>13310</v>
      </c>
      <c r="O131">
        <f>(Table1[[#This Row],[Unit_Price]]-Table1[[#This Row],[Cost_Price]])*Table1[[#This Row],[Quantity]]</f>
        <v>11810</v>
      </c>
      <c r="P131">
        <f t="shared" si="2"/>
        <v>13310</v>
      </c>
      <c r="Q131" t="str">
        <f>TEXT(Table1[[#This Row],[Order_Date]],"mmm-yyyy")</f>
        <v>Mar-2024</v>
      </c>
    </row>
    <row r="132" spans="1:17" x14ac:dyDescent="0.35">
      <c r="A132" t="s">
        <v>268</v>
      </c>
      <c r="B132" t="s">
        <v>269</v>
      </c>
      <c r="C132" t="s">
        <v>21</v>
      </c>
      <c r="D132" t="s">
        <v>37</v>
      </c>
      <c r="E132" t="s">
        <v>27</v>
      </c>
      <c r="F132" t="s">
        <v>18</v>
      </c>
      <c r="G132">
        <v>6</v>
      </c>
      <c r="H132">
        <v>1477</v>
      </c>
      <c r="I132" t="str">
        <f>VLOOKUP(D132,Product_Master!A:D,2,FALSE)</f>
        <v>Mobile</v>
      </c>
      <c r="J132" t="str">
        <f>VLOOKUP(D132,Product_Master!A:D,3,FALSE)</f>
        <v>Electronics</v>
      </c>
      <c r="K132">
        <f>VLOOKUP(D132,Product_Master!A:D,4,FALSE)</f>
        <v>600</v>
      </c>
      <c r="L132" t="str">
        <f>VLOOKUP(C132,Customer_Master!A:C,2,FALSE)</f>
        <v>Reliance</v>
      </c>
      <c r="M132" t="str">
        <f>VLOOKUP(C132,Customer_Master!A:C,3,FALSE)</f>
        <v>Corporate</v>
      </c>
      <c r="N132">
        <f>Table1[[#This Row],[Quantity]]*Table1[[#This Row],[Unit_Price]]</f>
        <v>8862</v>
      </c>
      <c r="O132">
        <f>(Table1[[#This Row],[Unit_Price]]-Table1[[#This Row],[Cost_Price]])*Table1[[#This Row],[Quantity]]</f>
        <v>5262</v>
      </c>
      <c r="P132">
        <f t="shared" si="2"/>
        <v>8862</v>
      </c>
      <c r="Q132" t="str">
        <f>TEXT(Table1[[#This Row],[Order_Date]],"mmm-yyyy")</f>
        <v>Apr-2024</v>
      </c>
    </row>
    <row r="133" spans="1:17" x14ac:dyDescent="0.35">
      <c r="A133" t="s">
        <v>270</v>
      </c>
      <c r="B133" t="s">
        <v>271</v>
      </c>
      <c r="C133" t="s">
        <v>30</v>
      </c>
      <c r="D133" t="s">
        <v>22</v>
      </c>
      <c r="E133" t="s">
        <v>33</v>
      </c>
      <c r="F133" t="s">
        <v>34</v>
      </c>
      <c r="G133">
        <v>3</v>
      </c>
      <c r="H133">
        <v>1560</v>
      </c>
      <c r="I133" t="str">
        <f>VLOOKUP(D133,Product_Master!A:D,2,FALSE)</f>
        <v>Desk</v>
      </c>
      <c r="J133" t="str">
        <f>VLOOKUP(D133,Product_Master!A:D,3,FALSE)</f>
        <v>Furniture</v>
      </c>
      <c r="K133">
        <f>VLOOKUP(D133,Product_Master!A:D,4,FALSE)</f>
        <v>300</v>
      </c>
      <c r="L133" t="str">
        <f>VLOOKUP(C133,Customer_Master!A:C,2,FALSE)</f>
        <v>Infosys</v>
      </c>
      <c r="M133" t="str">
        <f>VLOOKUP(C133,Customer_Master!A:C,3,FALSE)</f>
        <v>Corporate</v>
      </c>
      <c r="N133">
        <f>Table1[[#This Row],[Quantity]]*Table1[[#This Row],[Unit_Price]]</f>
        <v>4680</v>
      </c>
      <c r="O133">
        <f>(Table1[[#This Row],[Unit_Price]]-Table1[[#This Row],[Cost_Price]])*Table1[[#This Row],[Quantity]]</f>
        <v>3780</v>
      </c>
      <c r="P133">
        <f t="shared" si="2"/>
        <v>4680</v>
      </c>
      <c r="Q133" t="str">
        <f>TEXT(Table1[[#This Row],[Order_Date]],"mmm-yyyy")</f>
        <v>Sep-2024</v>
      </c>
    </row>
    <row r="134" spans="1:17" x14ac:dyDescent="0.35">
      <c r="A134" t="s">
        <v>272</v>
      </c>
      <c r="B134" t="s">
        <v>273</v>
      </c>
      <c r="C134" t="s">
        <v>10</v>
      </c>
      <c r="D134" t="s">
        <v>11</v>
      </c>
      <c r="E134" t="s">
        <v>12</v>
      </c>
      <c r="F134" t="s">
        <v>18</v>
      </c>
      <c r="G134">
        <v>4</v>
      </c>
      <c r="H134">
        <v>1088</v>
      </c>
      <c r="I134" t="str">
        <f>VLOOKUP(D134,Product_Master!A:D,2,FALSE)</f>
        <v>Chair</v>
      </c>
      <c r="J134" t="str">
        <f>VLOOKUP(D134,Product_Master!A:D,3,FALSE)</f>
        <v>Furniture</v>
      </c>
      <c r="K134">
        <f>VLOOKUP(D134,Product_Master!A:D,4,FALSE)</f>
        <v>150</v>
      </c>
      <c r="L134" t="str">
        <f>VLOOKUP(C134,Customer_Master!A:C,2,FALSE)</f>
        <v>Suresh</v>
      </c>
      <c r="M134" t="str">
        <f>VLOOKUP(C134,Customer_Master!A:C,3,FALSE)</f>
        <v>Consumer</v>
      </c>
      <c r="N134">
        <f>Table1[[#This Row],[Quantity]]*Table1[[#This Row],[Unit_Price]]</f>
        <v>4352</v>
      </c>
      <c r="O134">
        <f>(Table1[[#This Row],[Unit_Price]]-Table1[[#This Row],[Cost_Price]])*Table1[[#This Row],[Quantity]]</f>
        <v>3752</v>
      </c>
      <c r="P134">
        <f t="shared" si="2"/>
        <v>4352</v>
      </c>
      <c r="Q134" t="str">
        <f>TEXT(Table1[[#This Row],[Order_Date]],"mmm-yyyy")</f>
        <v>Jun-2024</v>
      </c>
    </row>
    <row r="135" spans="1:17" x14ac:dyDescent="0.35">
      <c r="A135" t="s">
        <v>274</v>
      </c>
      <c r="B135" t="s">
        <v>275</v>
      </c>
      <c r="C135" t="s">
        <v>30</v>
      </c>
      <c r="D135" t="s">
        <v>16</v>
      </c>
      <c r="E135" t="s">
        <v>12</v>
      </c>
      <c r="F135" t="s">
        <v>13</v>
      </c>
      <c r="G135">
        <v>7</v>
      </c>
      <c r="H135">
        <v>1156</v>
      </c>
      <c r="I135" t="str">
        <f>VLOOKUP(D135,Product_Master!A:D,2,FALSE)</f>
        <v>Printer</v>
      </c>
      <c r="J135" t="str">
        <f>VLOOKUP(D135,Product_Master!A:D,3,FALSE)</f>
        <v>Electronics</v>
      </c>
      <c r="K135">
        <f>VLOOKUP(D135,Product_Master!A:D,4,FALSE)</f>
        <v>1100</v>
      </c>
      <c r="L135" t="str">
        <f>VLOOKUP(C135,Customer_Master!A:C,2,FALSE)</f>
        <v>Infosys</v>
      </c>
      <c r="M135" t="str">
        <f>VLOOKUP(C135,Customer_Master!A:C,3,FALSE)</f>
        <v>Corporate</v>
      </c>
      <c r="N135">
        <f>Table1[[#This Row],[Quantity]]*Table1[[#This Row],[Unit_Price]]</f>
        <v>8092</v>
      </c>
      <c r="O135">
        <f>(Table1[[#This Row],[Unit_Price]]-Table1[[#This Row],[Cost_Price]])*Table1[[#This Row],[Quantity]]</f>
        <v>392</v>
      </c>
      <c r="P135">
        <f t="shared" si="2"/>
        <v>8092</v>
      </c>
      <c r="Q135" t="str">
        <f>TEXT(Table1[[#This Row],[Order_Date]],"mmm-yyyy")</f>
        <v>Jul-2024</v>
      </c>
    </row>
    <row r="136" spans="1:17" x14ac:dyDescent="0.35">
      <c r="A136" t="s">
        <v>276</v>
      </c>
      <c r="B136" t="s">
        <v>147</v>
      </c>
      <c r="C136" t="s">
        <v>21</v>
      </c>
      <c r="D136" t="s">
        <v>26</v>
      </c>
      <c r="E136" t="s">
        <v>12</v>
      </c>
      <c r="F136" t="s">
        <v>34</v>
      </c>
      <c r="G136">
        <v>8</v>
      </c>
      <c r="H136">
        <v>1174</v>
      </c>
      <c r="I136" t="str">
        <f>VLOOKUP(D136,Product_Master!A:D,2,FALSE)</f>
        <v>Laptop</v>
      </c>
      <c r="J136" t="str">
        <f>VLOOKUP(D136,Product_Master!A:D,3,FALSE)</f>
        <v>Electronics</v>
      </c>
      <c r="K136">
        <f>VLOOKUP(D136,Product_Master!A:D,4,FALSE)</f>
        <v>900</v>
      </c>
      <c r="L136" t="str">
        <f>VLOOKUP(C136,Customer_Master!A:C,2,FALSE)</f>
        <v>Reliance</v>
      </c>
      <c r="M136" t="str">
        <f>VLOOKUP(C136,Customer_Master!A:C,3,FALSE)</f>
        <v>Corporate</v>
      </c>
      <c r="N136">
        <f>Table1[[#This Row],[Quantity]]*Table1[[#This Row],[Unit_Price]]</f>
        <v>9392</v>
      </c>
      <c r="O136">
        <f>(Table1[[#This Row],[Unit_Price]]-Table1[[#This Row],[Cost_Price]])*Table1[[#This Row],[Quantity]]</f>
        <v>2192</v>
      </c>
      <c r="P136">
        <f t="shared" si="2"/>
        <v>9392</v>
      </c>
      <c r="Q136" t="str">
        <f>TEXT(Table1[[#This Row],[Order_Date]],"mmm-yyyy")</f>
        <v>May-2024</v>
      </c>
    </row>
    <row r="137" spans="1:17" x14ac:dyDescent="0.35">
      <c r="A137" t="s">
        <v>277</v>
      </c>
      <c r="B137" t="s">
        <v>177</v>
      </c>
      <c r="C137" t="s">
        <v>45</v>
      </c>
      <c r="D137" t="s">
        <v>11</v>
      </c>
      <c r="E137" t="s">
        <v>33</v>
      </c>
      <c r="F137" t="s">
        <v>13</v>
      </c>
      <c r="G137">
        <v>4</v>
      </c>
      <c r="H137">
        <v>1407</v>
      </c>
      <c r="I137" t="str">
        <f>VLOOKUP(D137,Product_Master!A:D,2,FALSE)</f>
        <v>Chair</v>
      </c>
      <c r="J137" t="str">
        <f>VLOOKUP(D137,Product_Master!A:D,3,FALSE)</f>
        <v>Furniture</v>
      </c>
      <c r="K137">
        <f>VLOOKUP(D137,Product_Master!A:D,4,FALSE)</f>
        <v>150</v>
      </c>
      <c r="L137" t="str">
        <f>VLOOKUP(C137,Customer_Master!A:C,2,FALSE)</f>
        <v>TCS</v>
      </c>
      <c r="M137" t="str">
        <f>VLOOKUP(C137,Customer_Master!A:C,3,FALSE)</f>
        <v>Corporate</v>
      </c>
      <c r="N137">
        <f>Table1[[#This Row],[Quantity]]*Table1[[#This Row],[Unit_Price]]</f>
        <v>5628</v>
      </c>
      <c r="O137">
        <f>(Table1[[#This Row],[Unit_Price]]-Table1[[#This Row],[Cost_Price]])*Table1[[#This Row],[Quantity]]</f>
        <v>5028</v>
      </c>
      <c r="P137">
        <f t="shared" si="2"/>
        <v>5628</v>
      </c>
      <c r="Q137" t="str">
        <f>TEXT(Table1[[#This Row],[Order_Date]],"mmm-yyyy")</f>
        <v>Jan-2024</v>
      </c>
    </row>
    <row r="138" spans="1:17" x14ac:dyDescent="0.35">
      <c r="A138" t="s">
        <v>278</v>
      </c>
      <c r="B138" t="s">
        <v>149</v>
      </c>
      <c r="C138" t="s">
        <v>30</v>
      </c>
      <c r="D138" t="s">
        <v>26</v>
      </c>
      <c r="E138" t="s">
        <v>17</v>
      </c>
      <c r="F138" t="s">
        <v>18</v>
      </c>
      <c r="G138">
        <v>9</v>
      </c>
      <c r="H138">
        <v>1349</v>
      </c>
      <c r="I138" t="str">
        <f>VLOOKUP(D138,Product_Master!A:D,2,FALSE)</f>
        <v>Laptop</v>
      </c>
      <c r="J138" t="str">
        <f>VLOOKUP(D138,Product_Master!A:D,3,FALSE)</f>
        <v>Electronics</v>
      </c>
      <c r="K138">
        <f>VLOOKUP(D138,Product_Master!A:D,4,FALSE)</f>
        <v>900</v>
      </c>
      <c r="L138" t="str">
        <f>VLOOKUP(C138,Customer_Master!A:C,2,FALSE)</f>
        <v>Infosys</v>
      </c>
      <c r="M138" t="str">
        <f>VLOOKUP(C138,Customer_Master!A:C,3,FALSE)</f>
        <v>Corporate</v>
      </c>
      <c r="N138">
        <f>Table1[[#This Row],[Quantity]]*Table1[[#This Row],[Unit_Price]]</f>
        <v>12141</v>
      </c>
      <c r="O138">
        <f>(Table1[[#This Row],[Unit_Price]]-Table1[[#This Row],[Cost_Price]])*Table1[[#This Row],[Quantity]]</f>
        <v>4041</v>
      </c>
      <c r="P138">
        <f t="shared" si="2"/>
        <v>12141</v>
      </c>
      <c r="Q138" t="str">
        <f>TEXT(Table1[[#This Row],[Order_Date]],"mmm-yyyy")</f>
        <v>Jan-2024</v>
      </c>
    </row>
    <row r="139" spans="1:17" x14ac:dyDescent="0.35">
      <c r="A139" t="s">
        <v>279</v>
      </c>
      <c r="B139" t="s">
        <v>130</v>
      </c>
      <c r="C139" t="s">
        <v>21</v>
      </c>
      <c r="D139" t="s">
        <v>22</v>
      </c>
      <c r="E139" t="s">
        <v>12</v>
      </c>
      <c r="F139" t="s">
        <v>34</v>
      </c>
      <c r="G139">
        <v>6</v>
      </c>
      <c r="H139">
        <v>989</v>
      </c>
      <c r="I139" t="str">
        <f>VLOOKUP(D139,Product_Master!A:D,2,FALSE)</f>
        <v>Desk</v>
      </c>
      <c r="J139" t="str">
        <f>VLOOKUP(D139,Product_Master!A:D,3,FALSE)</f>
        <v>Furniture</v>
      </c>
      <c r="K139">
        <f>VLOOKUP(D139,Product_Master!A:D,4,FALSE)</f>
        <v>300</v>
      </c>
      <c r="L139" t="str">
        <f>VLOOKUP(C139,Customer_Master!A:C,2,FALSE)</f>
        <v>Reliance</v>
      </c>
      <c r="M139" t="str">
        <f>VLOOKUP(C139,Customer_Master!A:C,3,FALSE)</f>
        <v>Corporate</v>
      </c>
      <c r="N139">
        <f>Table1[[#This Row],[Quantity]]*Table1[[#This Row],[Unit_Price]]</f>
        <v>5934</v>
      </c>
      <c r="O139">
        <f>(Table1[[#This Row],[Unit_Price]]-Table1[[#This Row],[Cost_Price]])*Table1[[#This Row],[Quantity]]</f>
        <v>4134</v>
      </c>
      <c r="P139">
        <f t="shared" si="2"/>
        <v>5934</v>
      </c>
      <c r="Q139" t="str">
        <f>TEXT(Table1[[#This Row],[Order_Date]],"mmm-yyyy")</f>
        <v>May-2024</v>
      </c>
    </row>
    <row r="140" spans="1:17" x14ac:dyDescent="0.35">
      <c r="A140" t="s">
        <v>280</v>
      </c>
      <c r="B140" t="s">
        <v>281</v>
      </c>
      <c r="C140" t="s">
        <v>21</v>
      </c>
      <c r="D140" t="s">
        <v>22</v>
      </c>
      <c r="E140" t="s">
        <v>17</v>
      </c>
      <c r="F140" t="s">
        <v>23</v>
      </c>
      <c r="G140">
        <v>2</v>
      </c>
      <c r="H140">
        <v>1240</v>
      </c>
      <c r="I140" t="str">
        <f>VLOOKUP(D140,Product_Master!A:D,2,FALSE)</f>
        <v>Desk</v>
      </c>
      <c r="J140" t="str">
        <f>VLOOKUP(D140,Product_Master!A:D,3,FALSE)</f>
        <v>Furniture</v>
      </c>
      <c r="K140">
        <f>VLOOKUP(D140,Product_Master!A:D,4,FALSE)</f>
        <v>300</v>
      </c>
      <c r="L140" t="str">
        <f>VLOOKUP(C140,Customer_Master!A:C,2,FALSE)</f>
        <v>Reliance</v>
      </c>
      <c r="M140" t="str">
        <f>VLOOKUP(C140,Customer_Master!A:C,3,FALSE)</f>
        <v>Corporate</v>
      </c>
      <c r="N140">
        <f>Table1[[#This Row],[Quantity]]*Table1[[#This Row],[Unit_Price]]</f>
        <v>2480</v>
      </c>
      <c r="O140">
        <f>(Table1[[#This Row],[Unit_Price]]-Table1[[#This Row],[Cost_Price]])*Table1[[#This Row],[Quantity]]</f>
        <v>1880</v>
      </c>
      <c r="P140">
        <f t="shared" si="2"/>
        <v>2480</v>
      </c>
      <c r="Q140" t="str">
        <f>TEXT(Table1[[#This Row],[Order_Date]],"mmm-yyyy")</f>
        <v>Apr-2024</v>
      </c>
    </row>
    <row r="141" spans="1:17" x14ac:dyDescent="0.35">
      <c r="A141" t="s">
        <v>282</v>
      </c>
      <c r="B141" t="s">
        <v>283</v>
      </c>
      <c r="C141" t="s">
        <v>30</v>
      </c>
      <c r="D141" t="s">
        <v>11</v>
      </c>
      <c r="E141" t="s">
        <v>33</v>
      </c>
      <c r="F141" t="s">
        <v>13</v>
      </c>
      <c r="G141">
        <v>6</v>
      </c>
      <c r="H141">
        <v>831</v>
      </c>
      <c r="I141" t="str">
        <f>VLOOKUP(D141,Product_Master!A:D,2,FALSE)</f>
        <v>Chair</v>
      </c>
      <c r="J141" t="str">
        <f>VLOOKUP(D141,Product_Master!A:D,3,FALSE)</f>
        <v>Furniture</v>
      </c>
      <c r="K141">
        <f>VLOOKUP(D141,Product_Master!A:D,4,FALSE)</f>
        <v>150</v>
      </c>
      <c r="L141" t="str">
        <f>VLOOKUP(C141,Customer_Master!A:C,2,FALSE)</f>
        <v>Infosys</v>
      </c>
      <c r="M141" t="str">
        <f>VLOOKUP(C141,Customer_Master!A:C,3,FALSE)</f>
        <v>Corporate</v>
      </c>
      <c r="N141">
        <f>Table1[[#This Row],[Quantity]]*Table1[[#This Row],[Unit_Price]]</f>
        <v>4986</v>
      </c>
      <c r="O141">
        <f>(Table1[[#This Row],[Unit_Price]]-Table1[[#This Row],[Cost_Price]])*Table1[[#This Row],[Quantity]]</f>
        <v>4086</v>
      </c>
      <c r="P141">
        <f t="shared" si="2"/>
        <v>4986</v>
      </c>
      <c r="Q141" t="str">
        <f>TEXT(Table1[[#This Row],[Order_Date]],"mmm-yyyy")</f>
        <v>Nov-2024</v>
      </c>
    </row>
    <row r="142" spans="1:17" x14ac:dyDescent="0.35">
      <c r="A142" t="s">
        <v>284</v>
      </c>
      <c r="B142" t="s">
        <v>84</v>
      </c>
      <c r="C142" t="s">
        <v>10</v>
      </c>
      <c r="D142" t="s">
        <v>26</v>
      </c>
      <c r="E142" t="s">
        <v>33</v>
      </c>
      <c r="F142" t="s">
        <v>34</v>
      </c>
      <c r="G142">
        <v>3</v>
      </c>
      <c r="H142">
        <v>1215</v>
      </c>
      <c r="I142" t="str">
        <f>VLOOKUP(D142,Product_Master!A:D,2,FALSE)</f>
        <v>Laptop</v>
      </c>
      <c r="J142" t="str">
        <f>VLOOKUP(D142,Product_Master!A:D,3,FALSE)</f>
        <v>Electronics</v>
      </c>
      <c r="K142">
        <f>VLOOKUP(D142,Product_Master!A:D,4,FALSE)</f>
        <v>900</v>
      </c>
      <c r="L142" t="str">
        <f>VLOOKUP(C142,Customer_Master!A:C,2,FALSE)</f>
        <v>Suresh</v>
      </c>
      <c r="M142" t="str">
        <f>VLOOKUP(C142,Customer_Master!A:C,3,FALSE)</f>
        <v>Consumer</v>
      </c>
      <c r="N142">
        <f>Table1[[#This Row],[Quantity]]*Table1[[#This Row],[Unit_Price]]</f>
        <v>3645</v>
      </c>
      <c r="O142">
        <f>(Table1[[#This Row],[Unit_Price]]-Table1[[#This Row],[Cost_Price]])*Table1[[#This Row],[Quantity]]</f>
        <v>945</v>
      </c>
      <c r="P142">
        <f t="shared" si="2"/>
        <v>3645</v>
      </c>
      <c r="Q142" t="str">
        <f>TEXT(Table1[[#This Row],[Order_Date]],"mmm-yyyy")</f>
        <v>Nov-2024</v>
      </c>
    </row>
    <row r="143" spans="1:17" x14ac:dyDescent="0.35">
      <c r="A143" t="s">
        <v>285</v>
      </c>
      <c r="B143" t="s">
        <v>286</v>
      </c>
      <c r="C143" t="s">
        <v>45</v>
      </c>
      <c r="D143" t="s">
        <v>11</v>
      </c>
      <c r="E143" t="s">
        <v>17</v>
      </c>
      <c r="F143" t="s">
        <v>34</v>
      </c>
      <c r="G143">
        <v>5</v>
      </c>
      <c r="H143">
        <v>1568</v>
      </c>
      <c r="I143" t="str">
        <f>VLOOKUP(D143,Product_Master!A:D,2,FALSE)</f>
        <v>Chair</v>
      </c>
      <c r="J143" t="str">
        <f>VLOOKUP(D143,Product_Master!A:D,3,FALSE)</f>
        <v>Furniture</v>
      </c>
      <c r="K143">
        <f>VLOOKUP(D143,Product_Master!A:D,4,FALSE)</f>
        <v>150</v>
      </c>
      <c r="L143" t="str">
        <f>VLOOKUP(C143,Customer_Master!A:C,2,FALSE)</f>
        <v>TCS</v>
      </c>
      <c r="M143" t="str">
        <f>VLOOKUP(C143,Customer_Master!A:C,3,FALSE)</f>
        <v>Corporate</v>
      </c>
      <c r="N143">
        <f>Table1[[#This Row],[Quantity]]*Table1[[#This Row],[Unit_Price]]</f>
        <v>7840</v>
      </c>
      <c r="O143">
        <f>(Table1[[#This Row],[Unit_Price]]-Table1[[#This Row],[Cost_Price]])*Table1[[#This Row],[Quantity]]</f>
        <v>7090</v>
      </c>
      <c r="P143">
        <f t="shared" si="2"/>
        <v>7840</v>
      </c>
      <c r="Q143" t="str">
        <f>TEXT(Table1[[#This Row],[Order_Date]],"mmm-yyyy")</f>
        <v>Mar-2024</v>
      </c>
    </row>
    <row r="144" spans="1:17" x14ac:dyDescent="0.35">
      <c r="A144" t="s">
        <v>287</v>
      </c>
      <c r="B144" t="s">
        <v>288</v>
      </c>
      <c r="C144" t="s">
        <v>45</v>
      </c>
      <c r="D144" t="s">
        <v>26</v>
      </c>
      <c r="E144" t="s">
        <v>33</v>
      </c>
      <c r="F144" t="s">
        <v>18</v>
      </c>
      <c r="G144">
        <v>10</v>
      </c>
      <c r="H144">
        <v>1289</v>
      </c>
      <c r="I144" t="str">
        <f>VLOOKUP(D144,Product_Master!A:D,2,FALSE)</f>
        <v>Laptop</v>
      </c>
      <c r="J144" t="str">
        <f>VLOOKUP(D144,Product_Master!A:D,3,FALSE)</f>
        <v>Electronics</v>
      </c>
      <c r="K144">
        <f>VLOOKUP(D144,Product_Master!A:D,4,FALSE)</f>
        <v>900</v>
      </c>
      <c r="L144" t="str">
        <f>VLOOKUP(C144,Customer_Master!A:C,2,FALSE)</f>
        <v>TCS</v>
      </c>
      <c r="M144" t="str">
        <f>VLOOKUP(C144,Customer_Master!A:C,3,FALSE)</f>
        <v>Corporate</v>
      </c>
      <c r="N144">
        <f>Table1[[#This Row],[Quantity]]*Table1[[#This Row],[Unit_Price]]</f>
        <v>12890</v>
      </c>
      <c r="O144">
        <f>(Table1[[#This Row],[Unit_Price]]-Table1[[#This Row],[Cost_Price]])*Table1[[#This Row],[Quantity]]</f>
        <v>3890</v>
      </c>
      <c r="P144">
        <f t="shared" si="2"/>
        <v>12890</v>
      </c>
      <c r="Q144" t="str">
        <f>TEXT(Table1[[#This Row],[Order_Date]],"mmm-yyyy")</f>
        <v>Mar-2024</v>
      </c>
    </row>
    <row r="145" spans="1:17" x14ac:dyDescent="0.35">
      <c r="A145" t="s">
        <v>289</v>
      </c>
      <c r="B145" t="s">
        <v>290</v>
      </c>
      <c r="C145" t="s">
        <v>30</v>
      </c>
      <c r="D145" t="s">
        <v>16</v>
      </c>
      <c r="E145" t="s">
        <v>27</v>
      </c>
      <c r="F145" t="s">
        <v>34</v>
      </c>
      <c r="G145">
        <v>3</v>
      </c>
      <c r="H145">
        <v>891</v>
      </c>
      <c r="I145" t="str">
        <f>VLOOKUP(D145,Product_Master!A:D,2,FALSE)</f>
        <v>Printer</v>
      </c>
      <c r="J145" t="str">
        <f>VLOOKUP(D145,Product_Master!A:D,3,FALSE)</f>
        <v>Electronics</v>
      </c>
      <c r="K145">
        <f>VLOOKUP(D145,Product_Master!A:D,4,FALSE)</f>
        <v>1100</v>
      </c>
      <c r="L145" t="str">
        <f>VLOOKUP(C145,Customer_Master!A:C,2,FALSE)</f>
        <v>Infosys</v>
      </c>
      <c r="M145" t="str">
        <f>VLOOKUP(C145,Customer_Master!A:C,3,FALSE)</f>
        <v>Corporate</v>
      </c>
      <c r="N145">
        <f>Table1[[#This Row],[Quantity]]*Table1[[#This Row],[Unit_Price]]</f>
        <v>2673</v>
      </c>
      <c r="O145">
        <f>(Table1[[#This Row],[Unit_Price]]-Table1[[#This Row],[Cost_Price]])*Table1[[#This Row],[Quantity]]</f>
        <v>-627</v>
      </c>
      <c r="P145">
        <f t="shared" si="2"/>
        <v>2673</v>
      </c>
      <c r="Q145" t="str">
        <f>TEXT(Table1[[#This Row],[Order_Date]],"mmm-yyyy")</f>
        <v>May-2024</v>
      </c>
    </row>
    <row r="146" spans="1:17" x14ac:dyDescent="0.35">
      <c r="A146" t="s">
        <v>291</v>
      </c>
      <c r="B146" t="s">
        <v>292</v>
      </c>
      <c r="C146" t="s">
        <v>30</v>
      </c>
      <c r="D146" t="s">
        <v>26</v>
      </c>
      <c r="E146" t="s">
        <v>12</v>
      </c>
      <c r="F146" t="s">
        <v>34</v>
      </c>
      <c r="G146">
        <v>4</v>
      </c>
      <c r="H146">
        <v>1854</v>
      </c>
      <c r="I146" t="str">
        <f>VLOOKUP(D146,Product_Master!A:D,2,FALSE)</f>
        <v>Laptop</v>
      </c>
      <c r="J146" t="str">
        <f>VLOOKUP(D146,Product_Master!A:D,3,FALSE)</f>
        <v>Electronics</v>
      </c>
      <c r="K146">
        <f>VLOOKUP(D146,Product_Master!A:D,4,FALSE)</f>
        <v>900</v>
      </c>
      <c r="L146" t="str">
        <f>VLOOKUP(C146,Customer_Master!A:C,2,FALSE)</f>
        <v>Infosys</v>
      </c>
      <c r="M146" t="str">
        <f>VLOOKUP(C146,Customer_Master!A:C,3,FALSE)</f>
        <v>Corporate</v>
      </c>
      <c r="N146">
        <f>Table1[[#This Row],[Quantity]]*Table1[[#This Row],[Unit_Price]]</f>
        <v>7416</v>
      </c>
      <c r="O146">
        <f>(Table1[[#This Row],[Unit_Price]]-Table1[[#This Row],[Cost_Price]])*Table1[[#This Row],[Quantity]]</f>
        <v>3816</v>
      </c>
      <c r="P146">
        <f t="shared" si="2"/>
        <v>7416</v>
      </c>
      <c r="Q146" t="str">
        <f>TEXT(Table1[[#This Row],[Order_Date]],"mmm-yyyy")</f>
        <v>Oct-2024</v>
      </c>
    </row>
    <row r="147" spans="1:17" x14ac:dyDescent="0.35">
      <c r="A147" t="s">
        <v>293</v>
      </c>
      <c r="B147" t="s">
        <v>294</v>
      </c>
      <c r="C147" t="s">
        <v>21</v>
      </c>
      <c r="D147" t="s">
        <v>37</v>
      </c>
      <c r="E147" t="s">
        <v>12</v>
      </c>
      <c r="F147" t="s">
        <v>34</v>
      </c>
      <c r="G147">
        <v>10</v>
      </c>
      <c r="H147">
        <v>1733</v>
      </c>
      <c r="I147" t="str">
        <f>VLOOKUP(D147,Product_Master!A:D,2,FALSE)</f>
        <v>Mobile</v>
      </c>
      <c r="J147" t="str">
        <f>VLOOKUP(D147,Product_Master!A:D,3,FALSE)</f>
        <v>Electronics</v>
      </c>
      <c r="K147">
        <f>VLOOKUP(D147,Product_Master!A:D,4,FALSE)</f>
        <v>600</v>
      </c>
      <c r="L147" t="str">
        <f>VLOOKUP(C147,Customer_Master!A:C,2,FALSE)</f>
        <v>Reliance</v>
      </c>
      <c r="M147" t="str">
        <f>VLOOKUP(C147,Customer_Master!A:C,3,FALSE)</f>
        <v>Corporate</v>
      </c>
      <c r="N147">
        <f>Table1[[#This Row],[Quantity]]*Table1[[#This Row],[Unit_Price]]</f>
        <v>17330</v>
      </c>
      <c r="O147">
        <f>(Table1[[#This Row],[Unit_Price]]-Table1[[#This Row],[Cost_Price]])*Table1[[#This Row],[Quantity]]</f>
        <v>11330</v>
      </c>
      <c r="P147">
        <f t="shared" si="2"/>
        <v>17330</v>
      </c>
      <c r="Q147" t="str">
        <f>TEXT(Table1[[#This Row],[Order_Date]],"mmm-yyyy")</f>
        <v>Jun-2024</v>
      </c>
    </row>
    <row r="148" spans="1:17" x14ac:dyDescent="0.35">
      <c r="A148" t="s">
        <v>295</v>
      </c>
      <c r="B148" t="s">
        <v>288</v>
      </c>
      <c r="C148" t="s">
        <v>21</v>
      </c>
      <c r="D148" t="s">
        <v>26</v>
      </c>
      <c r="E148" t="s">
        <v>33</v>
      </c>
      <c r="F148" t="s">
        <v>34</v>
      </c>
      <c r="G148">
        <v>4</v>
      </c>
      <c r="H148">
        <v>1843</v>
      </c>
      <c r="I148" t="str">
        <f>VLOOKUP(D148,Product_Master!A:D,2,FALSE)</f>
        <v>Laptop</v>
      </c>
      <c r="J148" t="str">
        <f>VLOOKUP(D148,Product_Master!A:D,3,FALSE)</f>
        <v>Electronics</v>
      </c>
      <c r="K148">
        <f>VLOOKUP(D148,Product_Master!A:D,4,FALSE)</f>
        <v>900</v>
      </c>
      <c r="L148" t="str">
        <f>VLOOKUP(C148,Customer_Master!A:C,2,FALSE)</f>
        <v>Reliance</v>
      </c>
      <c r="M148" t="str">
        <f>VLOOKUP(C148,Customer_Master!A:C,3,FALSE)</f>
        <v>Corporate</v>
      </c>
      <c r="N148">
        <f>Table1[[#This Row],[Quantity]]*Table1[[#This Row],[Unit_Price]]</f>
        <v>7372</v>
      </c>
      <c r="O148">
        <f>(Table1[[#This Row],[Unit_Price]]-Table1[[#This Row],[Cost_Price]])*Table1[[#This Row],[Quantity]]</f>
        <v>3772</v>
      </c>
      <c r="P148">
        <f t="shared" si="2"/>
        <v>7372</v>
      </c>
      <c r="Q148" t="str">
        <f>TEXT(Table1[[#This Row],[Order_Date]],"mmm-yyyy")</f>
        <v>Mar-2024</v>
      </c>
    </row>
    <row r="149" spans="1:17" x14ac:dyDescent="0.35">
      <c r="A149" t="s">
        <v>296</v>
      </c>
      <c r="B149" t="s">
        <v>297</v>
      </c>
      <c r="C149" t="s">
        <v>30</v>
      </c>
      <c r="D149" t="s">
        <v>16</v>
      </c>
      <c r="E149" t="s">
        <v>27</v>
      </c>
      <c r="F149" t="s">
        <v>18</v>
      </c>
      <c r="G149">
        <v>2</v>
      </c>
      <c r="H149">
        <v>1730</v>
      </c>
      <c r="I149" t="str">
        <f>VLOOKUP(D149,Product_Master!A:D,2,FALSE)</f>
        <v>Printer</v>
      </c>
      <c r="J149" t="str">
        <f>VLOOKUP(D149,Product_Master!A:D,3,FALSE)</f>
        <v>Electronics</v>
      </c>
      <c r="K149">
        <f>VLOOKUP(D149,Product_Master!A:D,4,FALSE)</f>
        <v>1100</v>
      </c>
      <c r="L149" t="str">
        <f>VLOOKUP(C149,Customer_Master!A:C,2,FALSE)</f>
        <v>Infosys</v>
      </c>
      <c r="M149" t="str">
        <f>VLOOKUP(C149,Customer_Master!A:C,3,FALSE)</f>
        <v>Corporate</v>
      </c>
      <c r="N149">
        <f>Table1[[#This Row],[Quantity]]*Table1[[#This Row],[Unit_Price]]</f>
        <v>3460</v>
      </c>
      <c r="O149">
        <f>(Table1[[#This Row],[Unit_Price]]-Table1[[#This Row],[Cost_Price]])*Table1[[#This Row],[Quantity]]</f>
        <v>1260</v>
      </c>
      <c r="P149">
        <f t="shared" si="2"/>
        <v>3460</v>
      </c>
      <c r="Q149" t="str">
        <f>TEXT(Table1[[#This Row],[Order_Date]],"mmm-yyyy")</f>
        <v>Sep-2024</v>
      </c>
    </row>
    <row r="150" spans="1:17" x14ac:dyDescent="0.35">
      <c r="A150" t="s">
        <v>298</v>
      </c>
      <c r="B150" t="s">
        <v>299</v>
      </c>
      <c r="C150" t="s">
        <v>30</v>
      </c>
      <c r="D150" t="s">
        <v>11</v>
      </c>
      <c r="E150" t="s">
        <v>27</v>
      </c>
      <c r="F150" t="s">
        <v>34</v>
      </c>
      <c r="G150">
        <v>7</v>
      </c>
      <c r="H150">
        <v>1589</v>
      </c>
      <c r="I150" t="str">
        <f>VLOOKUP(D150,Product_Master!A:D,2,FALSE)</f>
        <v>Chair</v>
      </c>
      <c r="J150" t="str">
        <f>VLOOKUP(D150,Product_Master!A:D,3,FALSE)</f>
        <v>Furniture</v>
      </c>
      <c r="K150">
        <f>VLOOKUP(D150,Product_Master!A:D,4,FALSE)</f>
        <v>150</v>
      </c>
      <c r="L150" t="str">
        <f>VLOOKUP(C150,Customer_Master!A:C,2,FALSE)</f>
        <v>Infosys</v>
      </c>
      <c r="M150" t="str">
        <f>VLOOKUP(C150,Customer_Master!A:C,3,FALSE)</f>
        <v>Corporate</v>
      </c>
      <c r="N150">
        <f>Table1[[#This Row],[Quantity]]*Table1[[#This Row],[Unit_Price]]</f>
        <v>11123</v>
      </c>
      <c r="O150">
        <f>(Table1[[#This Row],[Unit_Price]]-Table1[[#This Row],[Cost_Price]])*Table1[[#This Row],[Quantity]]</f>
        <v>10073</v>
      </c>
      <c r="P150">
        <f t="shared" si="2"/>
        <v>11123</v>
      </c>
      <c r="Q150" t="str">
        <f>TEXT(Table1[[#This Row],[Order_Date]],"mmm-yyyy")</f>
        <v>Apr-2024</v>
      </c>
    </row>
    <row r="151" spans="1:17" x14ac:dyDescent="0.35">
      <c r="A151" t="s">
        <v>300</v>
      </c>
      <c r="B151" t="s">
        <v>301</v>
      </c>
      <c r="C151" t="s">
        <v>42</v>
      </c>
      <c r="D151" t="s">
        <v>22</v>
      </c>
      <c r="E151" t="s">
        <v>27</v>
      </c>
      <c r="F151" t="s">
        <v>13</v>
      </c>
      <c r="G151">
        <v>7</v>
      </c>
      <c r="H151">
        <v>1074</v>
      </c>
      <c r="I151" t="str">
        <f>VLOOKUP(D151,Product_Master!A:D,2,FALSE)</f>
        <v>Desk</v>
      </c>
      <c r="J151" t="str">
        <f>VLOOKUP(D151,Product_Master!A:D,3,FALSE)</f>
        <v>Furniture</v>
      </c>
      <c r="K151">
        <f>VLOOKUP(D151,Product_Master!A:D,4,FALSE)</f>
        <v>300</v>
      </c>
      <c r="L151" t="str">
        <f>VLOOKUP(C151,Customer_Master!A:C,2,FALSE)</f>
        <v>Ramesh</v>
      </c>
      <c r="M151" t="str">
        <f>VLOOKUP(C151,Customer_Master!A:C,3,FALSE)</f>
        <v>Consumer</v>
      </c>
      <c r="N151">
        <f>Table1[[#This Row],[Quantity]]*Table1[[#This Row],[Unit_Price]]</f>
        <v>7518</v>
      </c>
      <c r="O151">
        <f>(Table1[[#This Row],[Unit_Price]]-Table1[[#This Row],[Cost_Price]])*Table1[[#This Row],[Quantity]]</f>
        <v>5418</v>
      </c>
      <c r="P151">
        <f t="shared" si="2"/>
        <v>7518</v>
      </c>
      <c r="Q151" t="str">
        <f>TEXT(Table1[[#This Row],[Order_Date]],"mmm-yyyy")</f>
        <v>Mar-2024</v>
      </c>
    </row>
    <row r="152" spans="1:17" x14ac:dyDescent="0.35">
      <c r="A152" t="s">
        <v>302</v>
      </c>
      <c r="B152" t="s">
        <v>303</v>
      </c>
      <c r="C152" t="s">
        <v>30</v>
      </c>
      <c r="D152" t="s">
        <v>11</v>
      </c>
      <c r="E152" t="s">
        <v>17</v>
      </c>
      <c r="F152" t="s">
        <v>13</v>
      </c>
      <c r="G152">
        <v>1</v>
      </c>
      <c r="H152">
        <v>1281</v>
      </c>
      <c r="I152" t="str">
        <f>VLOOKUP(D152,Product_Master!A:D,2,FALSE)</f>
        <v>Chair</v>
      </c>
      <c r="J152" t="str">
        <f>VLOOKUP(D152,Product_Master!A:D,3,FALSE)</f>
        <v>Furniture</v>
      </c>
      <c r="K152">
        <f>VLOOKUP(D152,Product_Master!A:D,4,FALSE)</f>
        <v>150</v>
      </c>
      <c r="L152" t="str">
        <f>VLOOKUP(C152,Customer_Master!A:C,2,FALSE)</f>
        <v>Infosys</v>
      </c>
      <c r="M152" t="str">
        <f>VLOOKUP(C152,Customer_Master!A:C,3,FALSE)</f>
        <v>Corporate</v>
      </c>
      <c r="N152">
        <f>Table1[[#This Row],[Quantity]]*Table1[[#This Row],[Unit_Price]]</f>
        <v>1281</v>
      </c>
      <c r="O152">
        <f>(Table1[[#This Row],[Unit_Price]]-Table1[[#This Row],[Cost_Price]])*Table1[[#This Row],[Quantity]]</f>
        <v>1131</v>
      </c>
      <c r="P152">
        <f t="shared" si="2"/>
        <v>1281</v>
      </c>
      <c r="Q152" t="str">
        <f>TEXT(Table1[[#This Row],[Order_Date]],"mmm-yyyy")</f>
        <v>Jul-2024</v>
      </c>
    </row>
    <row r="153" spans="1:17" x14ac:dyDescent="0.35">
      <c r="A153" t="s">
        <v>304</v>
      </c>
      <c r="B153" t="s">
        <v>305</v>
      </c>
      <c r="C153" t="s">
        <v>42</v>
      </c>
      <c r="D153" t="s">
        <v>11</v>
      </c>
      <c r="E153" t="s">
        <v>33</v>
      </c>
      <c r="F153" t="s">
        <v>23</v>
      </c>
      <c r="G153">
        <v>4</v>
      </c>
      <c r="H153">
        <v>1290</v>
      </c>
      <c r="I153" t="str">
        <f>VLOOKUP(D153,Product_Master!A:D,2,FALSE)</f>
        <v>Chair</v>
      </c>
      <c r="J153" t="str">
        <f>VLOOKUP(D153,Product_Master!A:D,3,FALSE)</f>
        <v>Furniture</v>
      </c>
      <c r="K153">
        <f>VLOOKUP(D153,Product_Master!A:D,4,FALSE)</f>
        <v>150</v>
      </c>
      <c r="L153" t="str">
        <f>VLOOKUP(C153,Customer_Master!A:C,2,FALSE)</f>
        <v>Ramesh</v>
      </c>
      <c r="M153" t="str">
        <f>VLOOKUP(C153,Customer_Master!A:C,3,FALSE)</f>
        <v>Consumer</v>
      </c>
      <c r="N153">
        <f>Table1[[#This Row],[Quantity]]*Table1[[#This Row],[Unit_Price]]</f>
        <v>5160</v>
      </c>
      <c r="O153">
        <f>(Table1[[#This Row],[Unit_Price]]-Table1[[#This Row],[Cost_Price]])*Table1[[#This Row],[Quantity]]</f>
        <v>4560</v>
      </c>
      <c r="P153">
        <f t="shared" si="2"/>
        <v>5160</v>
      </c>
      <c r="Q153" t="str">
        <f>TEXT(Table1[[#This Row],[Order_Date]],"mmm-yyyy")</f>
        <v>Nov-2024</v>
      </c>
    </row>
    <row r="154" spans="1:17" x14ac:dyDescent="0.35">
      <c r="A154" t="s">
        <v>306</v>
      </c>
      <c r="B154" t="s">
        <v>158</v>
      </c>
      <c r="C154" t="s">
        <v>45</v>
      </c>
      <c r="D154" t="s">
        <v>11</v>
      </c>
      <c r="E154" t="s">
        <v>33</v>
      </c>
      <c r="F154" t="s">
        <v>34</v>
      </c>
      <c r="G154">
        <v>4</v>
      </c>
      <c r="H154">
        <v>1889</v>
      </c>
      <c r="I154" t="str">
        <f>VLOOKUP(D154,Product_Master!A:D,2,FALSE)</f>
        <v>Chair</v>
      </c>
      <c r="J154" t="str">
        <f>VLOOKUP(D154,Product_Master!A:D,3,FALSE)</f>
        <v>Furniture</v>
      </c>
      <c r="K154">
        <f>VLOOKUP(D154,Product_Master!A:D,4,FALSE)</f>
        <v>150</v>
      </c>
      <c r="L154" t="str">
        <f>VLOOKUP(C154,Customer_Master!A:C,2,FALSE)</f>
        <v>TCS</v>
      </c>
      <c r="M154" t="str">
        <f>VLOOKUP(C154,Customer_Master!A:C,3,FALSE)</f>
        <v>Corporate</v>
      </c>
      <c r="N154">
        <f>Table1[[#This Row],[Quantity]]*Table1[[#This Row],[Unit_Price]]</f>
        <v>7556</v>
      </c>
      <c r="O154">
        <f>(Table1[[#This Row],[Unit_Price]]-Table1[[#This Row],[Cost_Price]])*Table1[[#This Row],[Quantity]]</f>
        <v>6956</v>
      </c>
      <c r="P154">
        <f t="shared" si="2"/>
        <v>7556</v>
      </c>
      <c r="Q154" t="str">
        <f>TEXT(Table1[[#This Row],[Order_Date]],"mmm-yyyy")</f>
        <v>Mar-2024</v>
      </c>
    </row>
    <row r="155" spans="1:17" x14ac:dyDescent="0.35">
      <c r="A155" t="s">
        <v>307</v>
      </c>
      <c r="B155" t="s">
        <v>308</v>
      </c>
      <c r="C155" t="s">
        <v>10</v>
      </c>
      <c r="D155" t="s">
        <v>26</v>
      </c>
      <c r="E155" t="s">
        <v>12</v>
      </c>
      <c r="F155" t="s">
        <v>34</v>
      </c>
      <c r="G155">
        <v>5</v>
      </c>
      <c r="H155">
        <v>1436</v>
      </c>
      <c r="I155" t="str">
        <f>VLOOKUP(D155,Product_Master!A:D,2,FALSE)</f>
        <v>Laptop</v>
      </c>
      <c r="J155" t="str">
        <f>VLOOKUP(D155,Product_Master!A:D,3,FALSE)</f>
        <v>Electronics</v>
      </c>
      <c r="K155">
        <f>VLOOKUP(D155,Product_Master!A:D,4,FALSE)</f>
        <v>900</v>
      </c>
      <c r="L155" t="str">
        <f>VLOOKUP(C155,Customer_Master!A:C,2,FALSE)</f>
        <v>Suresh</v>
      </c>
      <c r="M155" t="str">
        <f>VLOOKUP(C155,Customer_Master!A:C,3,FALSE)</f>
        <v>Consumer</v>
      </c>
      <c r="N155">
        <f>Table1[[#This Row],[Quantity]]*Table1[[#This Row],[Unit_Price]]</f>
        <v>7180</v>
      </c>
      <c r="O155">
        <f>(Table1[[#This Row],[Unit_Price]]-Table1[[#This Row],[Cost_Price]])*Table1[[#This Row],[Quantity]]</f>
        <v>2680</v>
      </c>
      <c r="P155">
        <f t="shared" si="2"/>
        <v>7180</v>
      </c>
      <c r="Q155" t="str">
        <f>TEXT(Table1[[#This Row],[Order_Date]],"mmm-yyyy")</f>
        <v>May-2024</v>
      </c>
    </row>
    <row r="156" spans="1:17" x14ac:dyDescent="0.35">
      <c r="A156" t="s">
        <v>309</v>
      </c>
      <c r="B156" t="s">
        <v>179</v>
      </c>
      <c r="C156" t="s">
        <v>21</v>
      </c>
      <c r="D156" t="s">
        <v>16</v>
      </c>
      <c r="E156" t="s">
        <v>12</v>
      </c>
      <c r="F156" t="s">
        <v>34</v>
      </c>
      <c r="G156">
        <v>10</v>
      </c>
      <c r="H156">
        <v>1095</v>
      </c>
      <c r="I156" t="str">
        <f>VLOOKUP(D156,Product_Master!A:D,2,FALSE)</f>
        <v>Printer</v>
      </c>
      <c r="J156" t="str">
        <f>VLOOKUP(D156,Product_Master!A:D,3,FALSE)</f>
        <v>Electronics</v>
      </c>
      <c r="K156">
        <f>VLOOKUP(D156,Product_Master!A:D,4,FALSE)</f>
        <v>1100</v>
      </c>
      <c r="L156" t="str">
        <f>VLOOKUP(C156,Customer_Master!A:C,2,FALSE)</f>
        <v>Reliance</v>
      </c>
      <c r="M156" t="str">
        <f>VLOOKUP(C156,Customer_Master!A:C,3,FALSE)</f>
        <v>Corporate</v>
      </c>
      <c r="N156">
        <f>Table1[[#This Row],[Quantity]]*Table1[[#This Row],[Unit_Price]]</f>
        <v>10950</v>
      </c>
      <c r="O156">
        <f>(Table1[[#This Row],[Unit_Price]]-Table1[[#This Row],[Cost_Price]])*Table1[[#This Row],[Quantity]]</f>
        <v>-50</v>
      </c>
      <c r="P156">
        <f t="shared" si="2"/>
        <v>10950</v>
      </c>
      <c r="Q156" t="str">
        <f>TEXT(Table1[[#This Row],[Order_Date]],"mmm-yyyy")</f>
        <v>Dec-2024</v>
      </c>
    </row>
    <row r="157" spans="1:17" x14ac:dyDescent="0.35">
      <c r="A157" t="s">
        <v>310</v>
      </c>
      <c r="B157" t="s">
        <v>311</v>
      </c>
      <c r="C157" t="s">
        <v>30</v>
      </c>
      <c r="D157" t="s">
        <v>26</v>
      </c>
      <c r="E157" t="s">
        <v>17</v>
      </c>
      <c r="F157" t="s">
        <v>23</v>
      </c>
      <c r="G157">
        <v>2</v>
      </c>
      <c r="H157">
        <v>1316</v>
      </c>
      <c r="I157" t="str">
        <f>VLOOKUP(D157,Product_Master!A:D,2,FALSE)</f>
        <v>Laptop</v>
      </c>
      <c r="J157" t="str">
        <f>VLOOKUP(D157,Product_Master!A:D,3,FALSE)</f>
        <v>Electronics</v>
      </c>
      <c r="K157">
        <f>VLOOKUP(D157,Product_Master!A:D,4,FALSE)</f>
        <v>900</v>
      </c>
      <c r="L157" t="str">
        <f>VLOOKUP(C157,Customer_Master!A:C,2,FALSE)</f>
        <v>Infosys</v>
      </c>
      <c r="M157" t="str">
        <f>VLOOKUP(C157,Customer_Master!A:C,3,FALSE)</f>
        <v>Corporate</v>
      </c>
      <c r="N157">
        <f>Table1[[#This Row],[Quantity]]*Table1[[#This Row],[Unit_Price]]</f>
        <v>2632</v>
      </c>
      <c r="O157">
        <f>(Table1[[#This Row],[Unit_Price]]-Table1[[#This Row],[Cost_Price]])*Table1[[#This Row],[Quantity]]</f>
        <v>832</v>
      </c>
      <c r="P157">
        <f t="shared" si="2"/>
        <v>2632</v>
      </c>
      <c r="Q157" t="str">
        <f>TEXT(Table1[[#This Row],[Order_Date]],"mmm-yyyy")</f>
        <v>Sep-2024</v>
      </c>
    </row>
    <row r="158" spans="1:17" x14ac:dyDescent="0.35">
      <c r="A158" t="s">
        <v>312</v>
      </c>
      <c r="B158" t="s">
        <v>39</v>
      </c>
      <c r="C158" t="s">
        <v>10</v>
      </c>
      <c r="D158" t="s">
        <v>11</v>
      </c>
      <c r="E158" t="s">
        <v>33</v>
      </c>
      <c r="F158" t="s">
        <v>18</v>
      </c>
      <c r="G158">
        <v>8</v>
      </c>
      <c r="H158">
        <v>1134</v>
      </c>
      <c r="I158" t="str">
        <f>VLOOKUP(D158,Product_Master!A:D,2,FALSE)</f>
        <v>Chair</v>
      </c>
      <c r="J158" t="str">
        <f>VLOOKUP(D158,Product_Master!A:D,3,FALSE)</f>
        <v>Furniture</v>
      </c>
      <c r="K158">
        <f>VLOOKUP(D158,Product_Master!A:D,4,FALSE)</f>
        <v>150</v>
      </c>
      <c r="L158" t="str">
        <f>VLOOKUP(C158,Customer_Master!A:C,2,FALSE)</f>
        <v>Suresh</v>
      </c>
      <c r="M158" t="str">
        <f>VLOOKUP(C158,Customer_Master!A:C,3,FALSE)</f>
        <v>Consumer</v>
      </c>
      <c r="N158">
        <f>Table1[[#This Row],[Quantity]]*Table1[[#This Row],[Unit_Price]]</f>
        <v>9072</v>
      </c>
      <c r="O158">
        <f>(Table1[[#This Row],[Unit_Price]]-Table1[[#This Row],[Cost_Price]])*Table1[[#This Row],[Quantity]]</f>
        <v>7872</v>
      </c>
      <c r="P158">
        <f t="shared" si="2"/>
        <v>9072</v>
      </c>
      <c r="Q158" t="str">
        <f>TEXT(Table1[[#This Row],[Order_Date]],"mmm-yyyy")</f>
        <v>May-2024</v>
      </c>
    </row>
    <row r="159" spans="1:17" x14ac:dyDescent="0.35">
      <c r="A159" t="s">
        <v>313</v>
      </c>
      <c r="B159" t="s">
        <v>41</v>
      </c>
      <c r="C159" t="s">
        <v>10</v>
      </c>
      <c r="D159" t="s">
        <v>26</v>
      </c>
      <c r="E159" t="s">
        <v>17</v>
      </c>
      <c r="F159" t="s">
        <v>18</v>
      </c>
      <c r="G159">
        <v>9</v>
      </c>
      <c r="H159">
        <v>1907</v>
      </c>
      <c r="I159" t="str">
        <f>VLOOKUP(D159,Product_Master!A:D,2,FALSE)</f>
        <v>Laptop</v>
      </c>
      <c r="J159" t="str">
        <f>VLOOKUP(D159,Product_Master!A:D,3,FALSE)</f>
        <v>Electronics</v>
      </c>
      <c r="K159">
        <f>VLOOKUP(D159,Product_Master!A:D,4,FALSE)</f>
        <v>900</v>
      </c>
      <c r="L159" t="str">
        <f>VLOOKUP(C159,Customer_Master!A:C,2,FALSE)</f>
        <v>Suresh</v>
      </c>
      <c r="M159" t="str">
        <f>VLOOKUP(C159,Customer_Master!A:C,3,FALSE)</f>
        <v>Consumer</v>
      </c>
      <c r="N159">
        <f>Table1[[#This Row],[Quantity]]*Table1[[#This Row],[Unit_Price]]</f>
        <v>17163</v>
      </c>
      <c r="O159">
        <f>(Table1[[#This Row],[Unit_Price]]-Table1[[#This Row],[Cost_Price]])*Table1[[#This Row],[Quantity]]</f>
        <v>9063</v>
      </c>
      <c r="P159">
        <f t="shared" si="2"/>
        <v>17163</v>
      </c>
      <c r="Q159" t="str">
        <f>TEXT(Table1[[#This Row],[Order_Date]],"mmm-yyyy")</f>
        <v>Apr-2024</v>
      </c>
    </row>
    <row r="160" spans="1:17" x14ac:dyDescent="0.35">
      <c r="A160" t="s">
        <v>314</v>
      </c>
      <c r="B160" t="s">
        <v>315</v>
      </c>
      <c r="C160" t="s">
        <v>10</v>
      </c>
      <c r="D160" t="s">
        <v>37</v>
      </c>
      <c r="E160" t="s">
        <v>12</v>
      </c>
      <c r="F160" t="s">
        <v>18</v>
      </c>
      <c r="G160">
        <v>10</v>
      </c>
      <c r="H160">
        <v>1697</v>
      </c>
      <c r="I160" t="str">
        <f>VLOOKUP(D160,Product_Master!A:D,2,FALSE)</f>
        <v>Mobile</v>
      </c>
      <c r="J160" t="str">
        <f>VLOOKUP(D160,Product_Master!A:D,3,FALSE)</f>
        <v>Electronics</v>
      </c>
      <c r="K160">
        <f>VLOOKUP(D160,Product_Master!A:D,4,FALSE)</f>
        <v>600</v>
      </c>
      <c r="L160" t="str">
        <f>VLOOKUP(C160,Customer_Master!A:C,2,FALSE)</f>
        <v>Suresh</v>
      </c>
      <c r="M160" t="str">
        <f>VLOOKUP(C160,Customer_Master!A:C,3,FALSE)</f>
        <v>Consumer</v>
      </c>
      <c r="N160">
        <f>Table1[[#This Row],[Quantity]]*Table1[[#This Row],[Unit_Price]]</f>
        <v>16970</v>
      </c>
      <c r="O160">
        <f>(Table1[[#This Row],[Unit_Price]]-Table1[[#This Row],[Cost_Price]])*Table1[[#This Row],[Quantity]]</f>
        <v>10970</v>
      </c>
      <c r="P160">
        <f t="shared" si="2"/>
        <v>16970</v>
      </c>
      <c r="Q160" t="str">
        <f>TEXT(Table1[[#This Row],[Order_Date]],"mmm-yyyy")</f>
        <v>Jan-2024</v>
      </c>
    </row>
    <row r="161" spans="1:17" x14ac:dyDescent="0.35">
      <c r="A161" t="s">
        <v>316</v>
      </c>
      <c r="B161" t="s">
        <v>317</v>
      </c>
      <c r="C161" t="s">
        <v>21</v>
      </c>
      <c r="D161" t="s">
        <v>22</v>
      </c>
      <c r="E161" t="s">
        <v>17</v>
      </c>
      <c r="F161" t="s">
        <v>23</v>
      </c>
      <c r="G161">
        <v>1</v>
      </c>
      <c r="H161">
        <v>954</v>
      </c>
      <c r="I161" t="str">
        <f>VLOOKUP(D161,Product_Master!A:D,2,FALSE)</f>
        <v>Desk</v>
      </c>
      <c r="J161" t="str">
        <f>VLOOKUP(D161,Product_Master!A:D,3,FALSE)</f>
        <v>Furniture</v>
      </c>
      <c r="K161">
        <f>VLOOKUP(D161,Product_Master!A:D,4,FALSE)</f>
        <v>300</v>
      </c>
      <c r="L161" t="str">
        <f>VLOOKUP(C161,Customer_Master!A:C,2,FALSE)</f>
        <v>Reliance</v>
      </c>
      <c r="M161" t="str">
        <f>VLOOKUP(C161,Customer_Master!A:C,3,FALSE)</f>
        <v>Corporate</v>
      </c>
      <c r="N161">
        <f>Table1[[#This Row],[Quantity]]*Table1[[#This Row],[Unit_Price]]</f>
        <v>954</v>
      </c>
      <c r="O161">
        <f>(Table1[[#This Row],[Unit_Price]]-Table1[[#This Row],[Cost_Price]])*Table1[[#This Row],[Quantity]]</f>
        <v>654</v>
      </c>
      <c r="P161">
        <f t="shared" si="2"/>
        <v>954</v>
      </c>
      <c r="Q161" t="str">
        <f>TEXT(Table1[[#This Row],[Order_Date]],"mmm-yyyy")</f>
        <v>Oct-2024</v>
      </c>
    </row>
    <row r="162" spans="1:17" x14ac:dyDescent="0.35">
      <c r="A162" t="s">
        <v>318</v>
      </c>
      <c r="B162" t="s">
        <v>319</v>
      </c>
      <c r="C162" t="s">
        <v>21</v>
      </c>
      <c r="D162" t="s">
        <v>16</v>
      </c>
      <c r="E162" t="s">
        <v>17</v>
      </c>
      <c r="F162" t="s">
        <v>18</v>
      </c>
      <c r="G162">
        <v>7</v>
      </c>
      <c r="H162">
        <v>1560</v>
      </c>
      <c r="I162" t="str">
        <f>VLOOKUP(D162,Product_Master!A:D,2,FALSE)</f>
        <v>Printer</v>
      </c>
      <c r="J162" t="str">
        <f>VLOOKUP(D162,Product_Master!A:D,3,FALSE)</f>
        <v>Electronics</v>
      </c>
      <c r="K162">
        <f>VLOOKUP(D162,Product_Master!A:D,4,FALSE)</f>
        <v>1100</v>
      </c>
      <c r="L162" t="str">
        <f>VLOOKUP(C162,Customer_Master!A:C,2,FALSE)</f>
        <v>Reliance</v>
      </c>
      <c r="M162" t="str">
        <f>VLOOKUP(C162,Customer_Master!A:C,3,FALSE)</f>
        <v>Corporate</v>
      </c>
      <c r="N162">
        <f>Table1[[#This Row],[Quantity]]*Table1[[#This Row],[Unit_Price]]</f>
        <v>10920</v>
      </c>
      <c r="O162">
        <f>(Table1[[#This Row],[Unit_Price]]-Table1[[#This Row],[Cost_Price]])*Table1[[#This Row],[Quantity]]</f>
        <v>3220</v>
      </c>
      <c r="P162">
        <f t="shared" si="2"/>
        <v>10920</v>
      </c>
      <c r="Q162" t="str">
        <f>TEXT(Table1[[#This Row],[Order_Date]],"mmm-yyyy")</f>
        <v>Sep-2024</v>
      </c>
    </row>
    <row r="163" spans="1:17" x14ac:dyDescent="0.35">
      <c r="A163" t="s">
        <v>320</v>
      </c>
      <c r="B163" t="s">
        <v>321</v>
      </c>
      <c r="C163" t="s">
        <v>45</v>
      </c>
      <c r="D163" t="s">
        <v>37</v>
      </c>
      <c r="E163" t="s">
        <v>12</v>
      </c>
      <c r="F163" t="s">
        <v>34</v>
      </c>
      <c r="G163">
        <v>3</v>
      </c>
      <c r="H163">
        <v>1670</v>
      </c>
      <c r="I163" t="str">
        <f>VLOOKUP(D163,Product_Master!A:D,2,FALSE)</f>
        <v>Mobile</v>
      </c>
      <c r="J163" t="str">
        <f>VLOOKUP(D163,Product_Master!A:D,3,FALSE)</f>
        <v>Electronics</v>
      </c>
      <c r="K163">
        <f>VLOOKUP(D163,Product_Master!A:D,4,FALSE)</f>
        <v>600</v>
      </c>
      <c r="L163" t="str">
        <f>VLOOKUP(C163,Customer_Master!A:C,2,FALSE)</f>
        <v>TCS</v>
      </c>
      <c r="M163" t="str">
        <f>VLOOKUP(C163,Customer_Master!A:C,3,FALSE)</f>
        <v>Corporate</v>
      </c>
      <c r="N163">
        <f>Table1[[#This Row],[Quantity]]*Table1[[#This Row],[Unit_Price]]</f>
        <v>5010</v>
      </c>
      <c r="O163">
        <f>(Table1[[#This Row],[Unit_Price]]-Table1[[#This Row],[Cost_Price]])*Table1[[#This Row],[Quantity]]</f>
        <v>3210</v>
      </c>
      <c r="P163">
        <f t="shared" si="2"/>
        <v>5010</v>
      </c>
      <c r="Q163" t="str">
        <f>TEXT(Table1[[#This Row],[Order_Date]],"mmm-yyyy")</f>
        <v>Aug-2024</v>
      </c>
    </row>
    <row r="164" spans="1:17" x14ac:dyDescent="0.35">
      <c r="A164" t="s">
        <v>322</v>
      </c>
      <c r="B164" t="s">
        <v>323</v>
      </c>
      <c r="C164" t="s">
        <v>45</v>
      </c>
      <c r="D164" t="s">
        <v>22</v>
      </c>
      <c r="E164" t="s">
        <v>27</v>
      </c>
      <c r="F164" t="s">
        <v>34</v>
      </c>
      <c r="G164">
        <v>3</v>
      </c>
      <c r="H164">
        <v>859</v>
      </c>
      <c r="I164" t="str">
        <f>VLOOKUP(D164,Product_Master!A:D,2,FALSE)</f>
        <v>Desk</v>
      </c>
      <c r="J164" t="str">
        <f>VLOOKUP(D164,Product_Master!A:D,3,FALSE)</f>
        <v>Furniture</v>
      </c>
      <c r="K164">
        <f>VLOOKUP(D164,Product_Master!A:D,4,FALSE)</f>
        <v>300</v>
      </c>
      <c r="L164" t="str">
        <f>VLOOKUP(C164,Customer_Master!A:C,2,FALSE)</f>
        <v>TCS</v>
      </c>
      <c r="M164" t="str">
        <f>VLOOKUP(C164,Customer_Master!A:C,3,FALSE)</f>
        <v>Corporate</v>
      </c>
      <c r="N164">
        <f>Table1[[#This Row],[Quantity]]*Table1[[#This Row],[Unit_Price]]</f>
        <v>2577</v>
      </c>
      <c r="O164">
        <f>(Table1[[#This Row],[Unit_Price]]-Table1[[#This Row],[Cost_Price]])*Table1[[#This Row],[Quantity]]</f>
        <v>1677</v>
      </c>
      <c r="P164">
        <f t="shared" si="2"/>
        <v>2577</v>
      </c>
      <c r="Q164" t="str">
        <f>TEXT(Table1[[#This Row],[Order_Date]],"mmm-yyyy")</f>
        <v>Jun-2024</v>
      </c>
    </row>
    <row r="165" spans="1:17" x14ac:dyDescent="0.35">
      <c r="A165" t="s">
        <v>324</v>
      </c>
      <c r="B165" t="s">
        <v>325</v>
      </c>
      <c r="C165" t="s">
        <v>21</v>
      </c>
      <c r="D165" t="s">
        <v>16</v>
      </c>
      <c r="E165" t="s">
        <v>27</v>
      </c>
      <c r="F165" t="s">
        <v>34</v>
      </c>
      <c r="G165">
        <v>2</v>
      </c>
      <c r="H165">
        <v>947</v>
      </c>
      <c r="I165" t="str">
        <f>VLOOKUP(D165,Product_Master!A:D,2,FALSE)</f>
        <v>Printer</v>
      </c>
      <c r="J165" t="str">
        <f>VLOOKUP(D165,Product_Master!A:D,3,FALSE)</f>
        <v>Electronics</v>
      </c>
      <c r="K165">
        <f>VLOOKUP(D165,Product_Master!A:D,4,FALSE)</f>
        <v>1100</v>
      </c>
      <c r="L165" t="str">
        <f>VLOOKUP(C165,Customer_Master!A:C,2,FALSE)</f>
        <v>Reliance</v>
      </c>
      <c r="M165" t="str">
        <f>VLOOKUP(C165,Customer_Master!A:C,3,FALSE)</f>
        <v>Corporate</v>
      </c>
      <c r="N165">
        <f>Table1[[#This Row],[Quantity]]*Table1[[#This Row],[Unit_Price]]</f>
        <v>1894</v>
      </c>
      <c r="O165">
        <f>(Table1[[#This Row],[Unit_Price]]-Table1[[#This Row],[Cost_Price]])*Table1[[#This Row],[Quantity]]</f>
        <v>-306</v>
      </c>
      <c r="P165">
        <f t="shared" si="2"/>
        <v>1894</v>
      </c>
      <c r="Q165" t="str">
        <f>TEXT(Table1[[#This Row],[Order_Date]],"mmm-yyyy")</f>
        <v>Dec-2024</v>
      </c>
    </row>
    <row r="166" spans="1:17" x14ac:dyDescent="0.35">
      <c r="A166" t="s">
        <v>326</v>
      </c>
      <c r="B166" t="s">
        <v>327</v>
      </c>
      <c r="C166" t="s">
        <v>45</v>
      </c>
      <c r="D166" t="s">
        <v>26</v>
      </c>
      <c r="E166" t="s">
        <v>12</v>
      </c>
      <c r="F166" t="s">
        <v>23</v>
      </c>
      <c r="G166">
        <v>7</v>
      </c>
      <c r="H166">
        <v>1259</v>
      </c>
      <c r="I166" t="str">
        <f>VLOOKUP(D166,Product_Master!A:D,2,FALSE)</f>
        <v>Laptop</v>
      </c>
      <c r="J166" t="str">
        <f>VLOOKUP(D166,Product_Master!A:D,3,FALSE)</f>
        <v>Electronics</v>
      </c>
      <c r="K166">
        <f>VLOOKUP(D166,Product_Master!A:D,4,FALSE)</f>
        <v>900</v>
      </c>
      <c r="L166" t="str">
        <f>VLOOKUP(C166,Customer_Master!A:C,2,FALSE)</f>
        <v>TCS</v>
      </c>
      <c r="M166" t="str">
        <f>VLOOKUP(C166,Customer_Master!A:C,3,FALSE)</f>
        <v>Corporate</v>
      </c>
      <c r="N166">
        <f>Table1[[#This Row],[Quantity]]*Table1[[#This Row],[Unit_Price]]</f>
        <v>8813</v>
      </c>
      <c r="O166">
        <f>(Table1[[#This Row],[Unit_Price]]-Table1[[#This Row],[Cost_Price]])*Table1[[#This Row],[Quantity]]</f>
        <v>2513</v>
      </c>
      <c r="P166">
        <f t="shared" si="2"/>
        <v>8813</v>
      </c>
      <c r="Q166" t="str">
        <f>TEXT(Table1[[#This Row],[Order_Date]],"mmm-yyyy")</f>
        <v>May-2024</v>
      </c>
    </row>
    <row r="167" spans="1:17" x14ac:dyDescent="0.35">
      <c r="A167" t="s">
        <v>328</v>
      </c>
      <c r="B167" t="s">
        <v>327</v>
      </c>
      <c r="C167" t="s">
        <v>10</v>
      </c>
      <c r="D167" t="s">
        <v>26</v>
      </c>
      <c r="E167" t="s">
        <v>17</v>
      </c>
      <c r="F167" t="s">
        <v>23</v>
      </c>
      <c r="G167">
        <v>4</v>
      </c>
      <c r="H167">
        <v>936</v>
      </c>
      <c r="I167" t="str">
        <f>VLOOKUP(D167,Product_Master!A:D,2,FALSE)</f>
        <v>Laptop</v>
      </c>
      <c r="J167" t="str">
        <f>VLOOKUP(D167,Product_Master!A:D,3,FALSE)</f>
        <v>Electronics</v>
      </c>
      <c r="K167">
        <f>VLOOKUP(D167,Product_Master!A:D,4,FALSE)</f>
        <v>900</v>
      </c>
      <c r="L167" t="str">
        <f>VLOOKUP(C167,Customer_Master!A:C,2,FALSE)</f>
        <v>Suresh</v>
      </c>
      <c r="M167" t="str">
        <f>VLOOKUP(C167,Customer_Master!A:C,3,FALSE)</f>
        <v>Consumer</v>
      </c>
      <c r="N167">
        <f>Table1[[#This Row],[Quantity]]*Table1[[#This Row],[Unit_Price]]</f>
        <v>3744</v>
      </c>
      <c r="O167">
        <f>(Table1[[#This Row],[Unit_Price]]-Table1[[#This Row],[Cost_Price]])*Table1[[#This Row],[Quantity]]</f>
        <v>144</v>
      </c>
      <c r="P167">
        <f t="shared" si="2"/>
        <v>3744</v>
      </c>
      <c r="Q167" t="str">
        <f>TEXT(Table1[[#This Row],[Order_Date]],"mmm-yyyy")</f>
        <v>May-2024</v>
      </c>
    </row>
    <row r="168" spans="1:17" x14ac:dyDescent="0.35">
      <c r="A168" t="s">
        <v>329</v>
      </c>
      <c r="B168" t="s">
        <v>121</v>
      </c>
      <c r="C168" t="s">
        <v>45</v>
      </c>
      <c r="D168" t="s">
        <v>11</v>
      </c>
      <c r="E168" t="s">
        <v>33</v>
      </c>
      <c r="F168" t="s">
        <v>23</v>
      </c>
      <c r="G168">
        <v>9</v>
      </c>
      <c r="H168">
        <v>1792</v>
      </c>
      <c r="I168" t="str">
        <f>VLOOKUP(D168,Product_Master!A:D,2,FALSE)</f>
        <v>Chair</v>
      </c>
      <c r="J168" t="str">
        <f>VLOOKUP(D168,Product_Master!A:D,3,FALSE)</f>
        <v>Furniture</v>
      </c>
      <c r="K168">
        <f>VLOOKUP(D168,Product_Master!A:D,4,FALSE)</f>
        <v>150</v>
      </c>
      <c r="L168" t="str">
        <f>VLOOKUP(C168,Customer_Master!A:C,2,FALSE)</f>
        <v>TCS</v>
      </c>
      <c r="M168" t="str">
        <f>VLOOKUP(C168,Customer_Master!A:C,3,FALSE)</f>
        <v>Corporate</v>
      </c>
      <c r="N168">
        <f>Table1[[#This Row],[Quantity]]*Table1[[#This Row],[Unit_Price]]</f>
        <v>16128</v>
      </c>
      <c r="O168">
        <f>(Table1[[#This Row],[Unit_Price]]-Table1[[#This Row],[Cost_Price]])*Table1[[#This Row],[Quantity]]</f>
        <v>14778</v>
      </c>
      <c r="P168">
        <f t="shared" si="2"/>
        <v>16128</v>
      </c>
      <c r="Q168" t="str">
        <f>TEXT(Table1[[#This Row],[Order_Date]],"mmm-yyyy")</f>
        <v>Nov-2024</v>
      </c>
    </row>
    <row r="169" spans="1:17" x14ac:dyDescent="0.35">
      <c r="A169" t="s">
        <v>330</v>
      </c>
      <c r="B169" t="s">
        <v>331</v>
      </c>
      <c r="C169" t="s">
        <v>10</v>
      </c>
      <c r="D169" t="s">
        <v>16</v>
      </c>
      <c r="E169" t="s">
        <v>17</v>
      </c>
      <c r="F169" t="s">
        <v>13</v>
      </c>
      <c r="G169">
        <v>1</v>
      </c>
      <c r="H169">
        <v>1167</v>
      </c>
      <c r="I169" t="str">
        <f>VLOOKUP(D169,Product_Master!A:D,2,FALSE)</f>
        <v>Printer</v>
      </c>
      <c r="J169" t="str">
        <f>VLOOKUP(D169,Product_Master!A:D,3,FALSE)</f>
        <v>Electronics</v>
      </c>
      <c r="K169">
        <f>VLOOKUP(D169,Product_Master!A:D,4,FALSE)</f>
        <v>1100</v>
      </c>
      <c r="L169" t="str">
        <f>VLOOKUP(C169,Customer_Master!A:C,2,FALSE)</f>
        <v>Suresh</v>
      </c>
      <c r="M169" t="str">
        <f>VLOOKUP(C169,Customer_Master!A:C,3,FALSE)</f>
        <v>Consumer</v>
      </c>
      <c r="N169">
        <f>Table1[[#This Row],[Quantity]]*Table1[[#This Row],[Unit_Price]]</f>
        <v>1167</v>
      </c>
      <c r="O169">
        <f>(Table1[[#This Row],[Unit_Price]]-Table1[[#This Row],[Cost_Price]])*Table1[[#This Row],[Quantity]]</f>
        <v>67</v>
      </c>
      <c r="P169">
        <f t="shared" si="2"/>
        <v>1167</v>
      </c>
      <c r="Q169" t="str">
        <f>TEXT(Table1[[#This Row],[Order_Date]],"mmm-yyyy")</f>
        <v>Oct-2024</v>
      </c>
    </row>
    <row r="170" spans="1:17" x14ac:dyDescent="0.35">
      <c r="A170" t="s">
        <v>332</v>
      </c>
      <c r="B170" t="s">
        <v>333</v>
      </c>
      <c r="C170" t="s">
        <v>21</v>
      </c>
      <c r="D170" t="s">
        <v>37</v>
      </c>
      <c r="E170" t="s">
        <v>17</v>
      </c>
      <c r="F170" t="s">
        <v>34</v>
      </c>
      <c r="G170">
        <v>1</v>
      </c>
      <c r="H170">
        <v>1979</v>
      </c>
      <c r="I170" t="str">
        <f>VLOOKUP(D170,Product_Master!A:D,2,FALSE)</f>
        <v>Mobile</v>
      </c>
      <c r="J170" t="str">
        <f>VLOOKUP(D170,Product_Master!A:D,3,FALSE)</f>
        <v>Electronics</v>
      </c>
      <c r="K170">
        <f>VLOOKUP(D170,Product_Master!A:D,4,FALSE)</f>
        <v>600</v>
      </c>
      <c r="L170" t="str">
        <f>VLOOKUP(C170,Customer_Master!A:C,2,FALSE)</f>
        <v>Reliance</v>
      </c>
      <c r="M170" t="str">
        <f>VLOOKUP(C170,Customer_Master!A:C,3,FALSE)</f>
        <v>Corporate</v>
      </c>
      <c r="N170">
        <f>Table1[[#This Row],[Quantity]]*Table1[[#This Row],[Unit_Price]]</f>
        <v>1979</v>
      </c>
      <c r="O170">
        <f>(Table1[[#This Row],[Unit_Price]]-Table1[[#This Row],[Cost_Price]])*Table1[[#This Row],[Quantity]]</f>
        <v>1379</v>
      </c>
      <c r="P170">
        <f t="shared" si="2"/>
        <v>1979</v>
      </c>
      <c r="Q170" t="str">
        <f>TEXT(Table1[[#This Row],[Order_Date]],"mmm-yyyy")</f>
        <v>Dec-2024</v>
      </c>
    </row>
    <row r="171" spans="1:17" x14ac:dyDescent="0.35">
      <c r="A171" t="s">
        <v>334</v>
      </c>
      <c r="B171" t="s">
        <v>335</v>
      </c>
      <c r="C171" t="s">
        <v>42</v>
      </c>
      <c r="D171" t="s">
        <v>37</v>
      </c>
      <c r="E171" t="s">
        <v>27</v>
      </c>
      <c r="F171" t="s">
        <v>34</v>
      </c>
      <c r="G171">
        <v>9</v>
      </c>
      <c r="H171">
        <v>1445</v>
      </c>
      <c r="I171" t="str">
        <f>VLOOKUP(D171,Product_Master!A:D,2,FALSE)</f>
        <v>Mobile</v>
      </c>
      <c r="J171" t="str">
        <f>VLOOKUP(D171,Product_Master!A:D,3,FALSE)</f>
        <v>Electronics</v>
      </c>
      <c r="K171">
        <f>VLOOKUP(D171,Product_Master!A:D,4,FALSE)</f>
        <v>600</v>
      </c>
      <c r="L171" t="str">
        <f>VLOOKUP(C171,Customer_Master!A:C,2,FALSE)</f>
        <v>Ramesh</v>
      </c>
      <c r="M171" t="str">
        <f>VLOOKUP(C171,Customer_Master!A:C,3,FALSE)</f>
        <v>Consumer</v>
      </c>
      <c r="N171">
        <f>Table1[[#This Row],[Quantity]]*Table1[[#This Row],[Unit_Price]]</f>
        <v>13005</v>
      </c>
      <c r="O171">
        <f>(Table1[[#This Row],[Unit_Price]]-Table1[[#This Row],[Cost_Price]])*Table1[[#This Row],[Quantity]]</f>
        <v>7605</v>
      </c>
      <c r="P171">
        <f t="shared" si="2"/>
        <v>13005</v>
      </c>
      <c r="Q171" t="str">
        <f>TEXT(Table1[[#This Row],[Order_Date]],"mmm-yyyy")</f>
        <v>Jan-2024</v>
      </c>
    </row>
    <row r="172" spans="1:17" x14ac:dyDescent="0.35">
      <c r="A172" t="s">
        <v>336</v>
      </c>
      <c r="B172" t="s">
        <v>337</v>
      </c>
      <c r="C172" t="s">
        <v>21</v>
      </c>
      <c r="D172" t="s">
        <v>11</v>
      </c>
      <c r="E172" t="s">
        <v>33</v>
      </c>
      <c r="F172" t="s">
        <v>18</v>
      </c>
      <c r="G172">
        <v>1</v>
      </c>
      <c r="H172">
        <v>1363</v>
      </c>
      <c r="I172" t="str">
        <f>VLOOKUP(D172,Product_Master!A:D,2,FALSE)</f>
        <v>Chair</v>
      </c>
      <c r="J172" t="str">
        <f>VLOOKUP(D172,Product_Master!A:D,3,FALSE)</f>
        <v>Furniture</v>
      </c>
      <c r="K172">
        <f>VLOOKUP(D172,Product_Master!A:D,4,FALSE)</f>
        <v>150</v>
      </c>
      <c r="L172" t="str">
        <f>VLOOKUP(C172,Customer_Master!A:C,2,FALSE)</f>
        <v>Reliance</v>
      </c>
      <c r="M172" t="str">
        <f>VLOOKUP(C172,Customer_Master!A:C,3,FALSE)</f>
        <v>Corporate</v>
      </c>
      <c r="N172">
        <f>Table1[[#This Row],[Quantity]]*Table1[[#This Row],[Unit_Price]]</f>
        <v>1363</v>
      </c>
      <c r="O172">
        <f>(Table1[[#This Row],[Unit_Price]]-Table1[[#This Row],[Cost_Price]])*Table1[[#This Row],[Quantity]]</f>
        <v>1213</v>
      </c>
      <c r="P172">
        <f t="shared" si="2"/>
        <v>1363</v>
      </c>
      <c r="Q172" t="str">
        <f>TEXT(Table1[[#This Row],[Order_Date]],"mmm-yyyy")</f>
        <v>Apr-2024</v>
      </c>
    </row>
    <row r="173" spans="1:17" x14ac:dyDescent="0.35">
      <c r="A173" t="s">
        <v>338</v>
      </c>
      <c r="B173" t="s">
        <v>339</v>
      </c>
      <c r="C173" t="s">
        <v>21</v>
      </c>
      <c r="D173" t="s">
        <v>16</v>
      </c>
      <c r="E173" t="s">
        <v>12</v>
      </c>
      <c r="F173" t="s">
        <v>34</v>
      </c>
      <c r="G173">
        <v>2</v>
      </c>
      <c r="H173">
        <v>913</v>
      </c>
      <c r="I173" t="str">
        <f>VLOOKUP(D173,Product_Master!A:D,2,FALSE)</f>
        <v>Printer</v>
      </c>
      <c r="J173" t="str">
        <f>VLOOKUP(D173,Product_Master!A:D,3,FALSE)</f>
        <v>Electronics</v>
      </c>
      <c r="K173">
        <f>VLOOKUP(D173,Product_Master!A:D,4,FALSE)</f>
        <v>1100</v>
      </c>
      <c r="L173" t="str">
        <f>VLOOKUP(C173,Customer_Master!A:C,2,FALSE)</f>
        <v>Reliance</v>
      </c>
      <c r="M173" t="str">
        <f>VLOOKUP(C173,Customer_Master!A:C,3,FALSE)</f>
        <v>Corporate</v>
      </c>
      <c r="N173">
        <f>Table1[[#This Row],[Quantity]]*Table1[[#This Row],[Unit_Price]]</f>
        <v>1826</v>
      </c>
      <c r="O173">
        <f>(Table1[[#This Row],[Unit_Price]]-Table1[[#This Row],[Cost_Price]])*Table1[[#This Row],[Quantity]]</f>
        <v>-374</v>
      </c>
      <c r="P173">
        <f t="shared" si="2"/>
        <v>1826</v>
      </c>
      <c r="Q173" t="str">
        <f>TEXT(Table1[[#This Row],[Order_Date]],"mmm-yyyy")</f>
        <v>Jun-2024</v>
      </c>
    </row>
    <row r="174" spans="1:17" x14ac:dyDescent="0.35">
      <c r="A174" t="s">
        <v>340</v>
      </c>
      <c r="B174" t="s">
        <v>341</v>
      </c>
      <c r="C174" t="s">
        <v>10</v>
      </c>
      <c r="D174" t="s">
        <v>22</v>
      </c>
      <c r="E174" t="s">
        <v>27</v>
      </c>
      <c r="F174" t="s">
        <v>18</v>
      </c>
      <c r="G174">
        <v>10</v>
      </c>
      <c r="H174">
        <v>1637</v>
      </c>
      <c r="I174" t="str">
        <f>VLOOKUP(D174,Product_Master!A:D,2,FALSE)</f>
        <v>Desk</v>
      </c>
      <c r="J174" t="str">
        <f>VLOOKUP(D174,Product_Master!A:D,3,FALSE)</f>
        <v>Furniture</v>
      </c>
      <c r="K174">
        <f>VLOOKUP(D174,Product_Master!A:D,4,FALSE)</f>
        <v>300</v>
      </c>
      <c r="L174" t="str">
        <f>VLOOKUP(C174,Customer_Master!A:C,2,FALSE)</f>
        <v>Suresh</v>
      </c>
      <c r="M174" t="str">
        <f>VLOOKUP(C174,Customer_Master!A:C,3,FALSE)</f>
        <v>Consumer</v>
      </c>
      <c r="N174">
        <f>Table1[[#This Row],[Quantity]]*Table1[[#This Row],[Unit_Price]]</f>
        <v>16370</v>
      </c>
      <c r="O174">
        <f>(Table1[[#This Row],[Unit_Price]]-Table1[[#This Row],[Cost_Price]])*Table1[[#This Row],[Quantity]]</f>
        <v>13370</v>
      </c>
      <c r="P174">
        <f t="shared" si="2"/>
        <v>16370</v>
      </c>
      <c r="Q174" t="str">
        <f>TEXT(Table1[[#This Row],[Order_Date]],"mmm-yyyy")</f>
        <v>Jan-2024</v>
      </c>
    </row>
    <row r="175" spans="1:17" x14ac:dyDescent="0.35">
      <c r="A175" t="s">
        <v>342</v>
      </c>
      <c r="B175" t="s">
        <v>343</v>
      </c>
      <c r="C175" t="s">
        <v>30</v>
      </c>
      <c r="D175" t="s">
        <v>16</v>
      </c>
      <c r="E175" t="s">
        <v>17</v>
      </c>
      <c r="F175" t="s">
        <v>34</v>
      </c>
      <c r="G175">
        <v>4</v>
      </c>
      <c r="H175">
        <v>1580</v>
      </c>
      <c r="I175" t="str">
        <f>VLOOKUP(D175,Product_Master!A:D,2,FALSE)</f>
        <v>Printer</v>
      </c>
      <c r="J175" t="str">
        <f>VLOOKUP(D175,Product_Master!A:D,3,FALSE)</f>
        <v>Electronics</v>
      </c>
      <c r="K175">
        <f>VLOOKUP(D175,Product_Master!A:D,4,FALSE)</f>
        <v>1100</v>
      </c>
      <c r="L175" t="str">
        <f>VLOOKUP(C175,Customer_Master!A:C,2,FALSE)</f>
        <v>Infosys</v>
      </c>
      <c r="M175" t="str">
        <f>VLOOKUP(C175,Customer_Master!A:C,3,FALSE)</f>
        <v>Corporate</v>
      </c>
      <c r="N175">
        <f>Table1[[#This Row],[Quantity]]*Table1[[#This Row],[Unit_Price]]</f>
        <v>6320</v>
      </c>
      <c r="O175">
        <f>(Table1[[#This Row],[Unit_Price]]-Table1[[#This Row],[Cost_Price]])*Table1[[#This Row],[Quantity]]</f>
        <v>1920</v>
      </c>
      <c r="P175">
        <f t="shared" si="2"/>
        <v>6320</v>
      </c>
      <c r="Q175" t="str">
        <f>TEXT(Table1[[#This Row],[Order_Date]],"mmm-yyyy")</f>
        <v>Apr-2024</v>
      </c>
    </row>
    <row r="176" spans="1:17" x14ac:dyDescent="0.35">
      <c r="A176" t="s">
        <v>344</v>
      </c>
      <c r="B176" t="s">
        <v>189</v>
      </c>
      <c r="C176" t="s">
        <v>21</v>
      </c>
      <c r="D176" t="s">
        <v>26</v>
      </c>
      <c r="E176" t="s">
        <v>12</v>
      </c>
      <c r="F176" t="s">
        <v>34</v>
      </c>
      <c r="G176">
        <v>1</v>
      </c>
      <c r="H176">
        <v>1582</v>
      </c>
      <c r="I176" t="str">
        <f>VLOOKUP(D176,Product_Master!A:D,2,FALSE)</f>
        <v>Laptop</v>
      </c>
      <c r="J176" t="str">
        <f>VLOOKUP(D176,Product_Master!A:D,3,FALSE)</f>
        <v>Electronics</v>
      </c>
      <c r="K176">
        <f>VLOOKUP(D176,Product_Master!A:D,4,FALSE)</f>
        <v>900</v>
      </c>
      <c r="L176" t="str">
        <f>VLOOKUP(C176,Customer_Master!A:C,2,FALSE)</f>
        <v>Reliance</v>
      </c>
      <c r="M176" t="str">
        <f>VLOOKUP(C176,Customer_Master!A:C,3,FALSE)</f>
        <v>Corporate</v>
      </c>
      <c r="N176">
        <f>Table1[[#This Row],[Quantity]]*Table1[[#This Row],[Unit_Price]]</f>
        <v>1582</v>
      </c>
      <c r="O176">
        <f>(Table1[[#This Row],[Unit_Price]]-Table1[[#This Row],[Cost_Price]])*Table1[[#This Row],[Quantity]]</f>
        <v>682</v>
      </c>
      <c r="P176">
        <f t="shared" si="2"/>
        <v>1582</v>
      </c>
      <c r="Q176" t="str">
        <f>TEXT(Table1[[#This Row],[Order_Date]],"mmm-yyyy")</f>
        <v>Jun-2024</v>
      </c>
    </row>
    <row r="177" spans="1:17" x14ac:dyDescent="0.35">
      <c r="A177" t="s">
        <v>345</v>
      </c>
      <c r="B177" t="s">
        <v>346</v>
      </c>
      <c r="C177" t="s">
        <v>45</v>
      </c>
      <c r="D177" t="s">
        <v>11</v>
      </c>
      <c r="E177" t="s">
        <v>17</v>
      </c>
      <c r="F177" t="s">
        <v>34</v>
      </c>
      <c r="G177">
        <v>4</v>
      </c>
      <c r="H177">
        <v>1010</v>
      </c>
      <c r="I177" t="str">
        <f>VLOOKUP(D177,Product_Master!A:D,2,FALSE)</f>
        <v>Chair</v>
      </c>
      <c r="J177" t="str">
        <f>VLOOKUP(D177,Product_Master!A:D,3,FALSE)</f>
        <v>Furniture</v>
      </c>
      <c r="K177">
        <f>VLOOKUP(D177,Product_Master!A:D,4,FALSE)</f>
        <v>150</v>
      </c>
      <c r="L177" t="str">
        <f>VLOOKUP(C177,Customer_Master!A:C,2,FALSE)</f>
        <v>TCS</v>
      </c>
      <c r="M177" t="str">
        <f>VLOOKUP(C177,Customer_Master!A:C,3,FALSE)</f>
        <v>Corporate</v>
      </c>
      <c r="N177">
        <f>Table1[[#This Row],[Quantity]]*Table1[[#This Row],[Unit_Price]]</f>
        <v>4040</v>
      </c>
      <c r="O177">
        <f>(Table1[[#This Row],[Unit_Price]]-Table1[[#This Row],[Cost_Price]])*Table1[[#This Row],[Quantity]]</f>
        <v>3440</v>
      </c>
      <c r="P177">
        <f t="shared" si="2"/>
        <v>4040</v>
      </c>
      <c r="Q177" t="str">
        <f>TEXT(Table1[[#This Row],[Order_Date]],"mmm-yyyy")</f>
        <v>Mar-2024</v>
      </c>
    </row>
    <row r="178" spans="1:17" x14ac:dyDescent="0.35">
      <c r="A178" t="s">
        <v>347</v>
      </c>
      <c r="B178" t="s">
        <v>348</v>
      </c>
      <c r="C178" t="s">
        <v>10</v>
      </c>
      <c r="D178" t="s">
        <v>11</v>
      </c>
      <c r="E178" t="s">
        <v>33</v>
      </c>
      <c r="F178" t="s">
        <v>13</v>
      </c>
      <c r="G178">
        <v>3</v>
      </c>
      <c r="H178">
        <v>1983</v>
      </c>
      <c r="I178" t="str">
        <f>VLOOKUP(D178,Product_Master!A:D,2,FALSE)</f>
        <v>Chair</v>
      </c>
      <c r="J178" t="str">
        <f>VLOOKUP(D178,Product_Master!A:D,3,FALSE)</f>
        <v>Furniture</v>
      </c>
      <c r="K178">
        <f>VLOOKUP(D178,Product_Master!A:D,4,FALSE)</f>
        <v>150</v>
      </c>
      <c r="L178" t="str">
        <f>VLOOKUP(C178,Customer_Master!A:C,2,FALSE)</f>
        <v>Suresh</v>
      </c>
      <c r="M178" t="str">
        <f>VLOOKUP(C178,Customer_Master!A:C,3,FALSE)</f>
        <v>Consumer</v>
      </c>
      <c r="N178">
        <f>Table1[[#This Row],[Quantity]]*Table1[[#This Row],[Unit_Price]]</f>
        <v>5949</v>
      </c>
      <c r="O178">
        <f>(Table1[[#This Row],[Unit_Price]]-Table1[[#This Row],[Cost_Price]])*Table1[[#This Row],[Quantity]]</f>
        <v>5499</v>
      </c>
      <c r="P178">
        <f t="shared" si="2"/>
        <v>5949</v>
      </c>
      <c r="Q178" t="str">
        <f>TEXT(Table1[[#This Row],[Order_Date]],"mmm-yyyy")</f>
        <v>Mar-2024</v>
      </c>
    </row>
    <row r="179" spans="1:17" x14ac:dyDescent="0.35">
      <c r="A179" t="s">
        <v>349</v>
      </c>
      <c r="B179" t="s">
        <v>350</v>
      </c>
      <c r="C179" t="s">
        <v>42</v>
      </c>
      <c r="D179" t="s">
        <v>26</v>
      </c>
      <c r="E179" t="s">
        <v>12</v>
      </c>
      <c r="F179" t="s">
        <v>18</v>
      </c>
      <c r="G179">
        <v>8</v>
      </c>
      <c r="H179">
        <v>975</v>
      </c>
      <c r="I179" t="str">
        <f>VLOOKUP(D179,Product_Master!A:D,2,FALSE)</f>
        <v>Laptop</v>
      </c>
      <c r="J179" t="str">
        <f>VLOOKUP(D179,Product_Master!A:D,3,FALSE)</f>
        <v>Electronics</v>
      </c>
      <c r="K179">
        <f>VLOOKUP(D179,Product_Master!A:D,4,FALSE)</f>
        <v>900</v>
      </c>
      <c r="L179" t="str">
        <f>VLOOKUP(C179,Customer_Master!A:C,2,FALSE)</f>
        <v>Ramesh</v>
      </c>
      <c r="M179" t="str">
        <f>VLOOKUP(C179,Customer_Master!A:C,3,FALSE)</f>
        <v>Consumer</v>
      </c>
      <c r="N179">
        <f>Table1[[#This Row],[Quantity]]*Table1[[#This Row],[Unit_Price]]</f>
        <v>7800</v>
      </c>
      <c r="O179">
        <f>(Table1[[#This Row],[Unit_Price]]-Table1[[#This Row],[Cost_Price]])*Table1[[#This Row],[Quantity]]</f>
        <v>600</v>
      </c>
      <c r="P179">
        <f t="shared" si="2"/>
        <v>7800</v>
      </c>
      <c r="Q179" t="str">
        <f>TEXT(Table1[[#This Row],[Order_Date]],"mmm-yyyy")</f>
        <v>Jul-2024</v>
      </c>
    </row>
    <row r="180" spans="1:17" x14ac:dyDescent="0.35">
      <c r="A180" t="s">
        <v>351</v>
      </c>
      <c r="B180" t="s">
        <v>352</v>
      </c>
      <c r="C180" t="s">
        <v>42</v>
      </c>
      <c r="D180" t="s">
        <v>22</v>
      </c>
      <c r="E180" t="s">
        <v>17</v>
      </c>
      <c r="F180" t="s">
        <v>23</v>
      </c>
      <c r="G180">
        <v>10</v>
      </c>
      <c r="H180">
        <v>1227</v>
      </c>
      <c r="I180" t="str">
        <f>VLOOKUP(D180,Product_Master!A:D,2,FALSE)</f>
        <v>Desk</v>
      </c>
      <c r="J180" t="str">
        <f>VLOOKUP(D180,Product_Master!A:D,3,FALSE)</f>
        <v>Furniture</v>
      </c>
      <c r="K180">
        <f>VLOOKUP(D180,Product_Master!A:D,4,FALSE)</f>
        <v>300</v>
      </c>
      <c r="L180" t="str">
        <f>VLOOKUP(C180,Customer_Master!A:C,2,FALSE)</f>
        <v>Ramesh</v>
      </c>
      <c r="M180" t="str">
        <f>VLOOKUP(C180,Customer_Master!A:C,3,FALSE)</f>
        <v>Consumer</v>
      </c>
      <c r="N180">
        <f>Table1[[#This Row],[Quantity]]*Table1[[#This Row],[Unit_Price]]</f>
        <v>12270</v>
      </c>
      <c r="O180">
        <f>(Table1[[#This Row],[Unit_Price]]-Table1[[#This Row],[Cost_Price]])*Table1[[#This Row],[Quantity]]</f>
        <v>9270</v>
      </c>
      <c r="P180">
        <f t="shared" si="2"/>
        <v>12270</v>
      </c>
      <c r="Q180" t="str">
        <f>TEXT(Table1[[#This Row],[Order_Date]],"mmm-yyyy")</f>
        <v>Mar-2024</v>
      </c>
    </row>
    <row r="181" spans="1:17" x14ac:dyDescent="0.35">
      <c r="A181" t="s">
        <v>353</v>
      </c>
      <c r="B181" t="s">
        <v>107</v>
      </c>
      <c r="C181" t="s">
        <v>30</v>
      </c>
      <c r="D181" t="s">
        <v>22</v>
      </c>
      <c r="E181" t="s">
        <v>33</v>
      </c>
      <c r="F181" t="s">
        <v>13</v>
      </c>
      <c r="G181">
        <v>1</v>
      </c>
      <c r="H181">
        <v>1730</v>
      </c>
      <c r="I181" t="str">
        <f>VLOOKUP(D181,Product_Master!A:D,2,FALSE)</f>
        <v>Desk</v>
      </c>
      <c r="J181" t="str">
        <f>VLOOKUP(D181,Product_Master!A:D,3,FALSE)</f>
        <v>Furniture</v>
      </c>
      <c r="K181">
        <f>VLOOKUP(D181,Product_Master!A:D,4,FALSE)</f>
        <v>300</v>
      </c>
      <c r="L181" t="str">
        <f>VLOOKUP(C181,Customer_Master!A:C,2,FALSE)</f>
        <v>Infosys</v>
      </c>
      <c r="M181" t="str">
        <f>VLOOKUP(C181,Customer_Master!A:C,3,FALSE)</f>
        <v>Corporate</v>
      </c>
      <c r="N181">
        <f>Table1[[#This Row],[Quantity]]*Table1[[#This Row],[Unit_Price]]</f>
        <v>1730</v>
      </c>
      <c r="O181">
        <f>(Table1[[#This Row],[Unit_Price]]-Table1[[#This Row],[Cost_Price]])*Table1[[#This Row],[Quantity]]</f>
        <v>1430</v>
      </c>
      <c r="P181">
        <f t="shared" si="2"/>
        <v>1730</v>
      </c>
      <c r="Q181" t="str">
        <f>TEXT(Table1[[#This Row],[Order_Date]],"mmm-yyyy")</f>
        <v>Jul-2024</v>
      </c>
    </row>
    <row r="182" spans="1:17" x14ac:dyDescent="0.35">
      <c r="A182" t="s">
        <v>354</v>
      </c>
      <c r="B182" t="s">
        <v>47</v>
      </c>
      <c r="C182" t="s">
        <v>30</v>
      </c>
      <c r="D182" t="s">
        <v>16</v>
      </c>
      <c r="E182" t="s">
        <v>12</v>
      </c>
      <c r="F182" t="s">
        <v>23</v>
      </c>
      <c r="G182">
        <v>3</v>
      </c>
      <c r="H182">
        <v>1572</v>
      </c>
      <c r="I182" t="str">
        <f>VLOOKUP(D182,Product_Master!A:D,2,FALSE)</f>
        <v>Printer</v>
      </c>
      <c r="J182" t="str">
        <f>VLOOKUP(D182,Product_Master!A:D,3,FALSE)</f>
        <v>Electronics</v>
      </c>
      <c r="K182">
        <f>VLOOKUP(D182,Product_Master!A:D,4,FALSE)</f>
        <v>1100</v>
      </c>
      <c r="L182" t="str">
        <f>VLOOKUP(C182,Customer_Master!A:C,2,FALSE)</f>
        <v>Infosys</v>
      </c>
      <c r="M182" t="str">
        <f>VLOOKUP(C182,Customer_Master!A:C,3,FALSE)</f>
        <v>Corporate</v>
      </c>
      <c r="N182">
        <f>Table1[[#This Row],[Quantity]]*Table1[[#This Row],[Unit_Price]]</f>
        <v>4716</v>
      </c>
      <c r="O182">
        <f>(Table1[[#This Row],[Unit_Price]]-Table1[[#This Row],[Cost_Price]])*Table1[[#This Row],[Quantity]]</f>
        <v>1416</v>
      </c>
      <c r="P182">
        <f t="shared" si="2"/>
        <v>4716</v>
      </c>
      <c r="Q182" t="str">
        <f>TEXT(Table1[[#This Row],[Order_Date]],"mmm-yyyy")</f>
        <v>Dec-2024</v>
      </c>
    </row>
    <row r="183" spans="1:17" x14ac:dyDescent="0.35">
      <c r="A183" t="s">
        <v>355</v>
      </c>
      <c r="B183" t="s">
        <v>96</v>
      </c>
      <c r="C183" t="s">
        <v>30</v>
      </c>
      <c r="D183" t="s">
        <v>37</v>
      </c>
      <c r="E183" t="s">
        <v>33</v>
      </c>
      <c r="F183" t="s">
        <v>23</v>
      </c>
      <c r="G183">
        <v>7</v>
      </c>
      <c r="H183">
        <v>1560</v>
      </c>
      <c r="I183" t="str">
        <f>VLOOKUP(D183,Product_Master!A:D,2,FALSE)</f>
        <v>Mobile</v>
      </c>
      <c r="J183" t="str">
        <f>VLOOKUP(D183,Product_Master!A:D,3,FALSE)</f>
        <v>Electronics</v>
      </c>
      <c r="K183">
        <f>VLOOKUP(D183,Product_Master!A:D,4,FALSE)</f>
        <v>600</v>
      </c>
      <c r="L183" t="str">
        <f>VLOOKUP(C183,Customer_Master!A:C,2,FALSE)</f>
        <v>Infosys</v>
      </c>
      <c r="M183" t="str">
        <f>VLOOKUP(C183,Customer_Master!A:C,3,FALSE)</f>
        <v>Corporate</v>
      </c>
      <c r="N183">
        <f>Table1[[#This Row],[Quantity]]*Table1[[#This Row],[Unit_Price]]</f>
        <v>10920</v>
      </c>
      <c r="O183">
        <f>(Table1[[#This Row],[Unit_Price]]-Table1[[#This Row],[Cost_Price]])*Table1[[#This Row],[Quantity]]</f>
        <v>6720</v>
      </c>
      <c r="P183">
        <f t="shared" si="2"/>
        <v>10920</v>
      </c>
      <c r="Q183" t="str">
        <f>TEXT(Table1[[#This Row],[Order_Date]],"mmm-yyyy")</f>
        <v>Jan-2024</v>
      </c>
    </row>
    <row r="184" spans="1:17" x14ac:dyDescent="0.35">
      <c r="A184" t="s">
        <v>356</v>
      </c>
      <c r="B184" t="s">
        <v>357</v>
      </c>
      <c r="C184" t="s">
        <v>21</v>
      </c>
      <c r="D184" t="s">
        <v>26</v>
      </c>
      <c r="E184" t="s">
        <v>17</v>
      </c>
      <c r="F184" t="s">
        <v>13</v>
      </c>
      <c r="G184">
        <v>2</v>
      </c>
      <c r="H184">
        <v>1484</v>
      </c>
      <c r="I184" t="str">
        <f>VLOOKUP(D184,Product_Master!A:D,2,FALSE)</f>
        <v>Laptop</v>
      </c>
      <c r="J184" t="str">
        <f>VLOOKUP(D184,Product_Master!A:D,3,FALSE)</f>
        <v>Electronics</v>
      </c>
      <c r="K184">
        <f>VLOOKUP(D184,Product_Master!A:D,4,FALSE)</f>
        <v>900</v>
      </c>
      <c r="L184" t="str">
        <f>VLOOKUP(C184,Customer_Master!A:C,2,FALSE)</f>
        <v>Reliance</v>
      </c>
      <c r="M184" t="str">
        <f>VLOOKUP(C184,Customer_Master!A:C,3,FALSE)</f>
        <v>Corporate</v>
      </c>
      <c r="N184">
        <f>Table1[[#This Row],[Quantity]]*Table1[[#This Row],[Unit_Price]]</f>
        <v>2968</v>
      </c>
      <c r="O184">
        <f>(Table1[[#This Row],[Unit_Price]]-Table1[[#This Row],[Cost_Price]])*Table1[[#This Row],[Quantity]]</f>
        <v>1168</v>
      </c>
      <c r="P184">
        <f t="shared" si="2"/>
        <v>2968</v>
      </c>
      <c r="Q184" t="str">
        <f>TEXT(Table1[[#This Row],[Order_Date]],"mmm-yyyy")</f>
        <v>Dec-2024</v>
      </c>
    </row>
    <row r="185" spans="1:17" x14ac:dyDescent="0.35">
      <c r="A185" t="s">
        <v>358</v>
      </c>
      <c r="B185" t="s">
        <v>359</v>
      </c>
      <c r="C185" t="s">
        <v>21</v>
      </c>
      <c r="D185" t="s">
        <v>16</v>
      </c>
      <c r="E185" t="s">
        <v>17</v>
      </c>
      <c r="F185" t="s">
        <v>13</v>
      </c>
      <c r="G185">
        <v>7</v>
      </c>
      <c r="H185">
        <v>1674</v>
      </c>
      <c r="I185" t="str">
        <f>VLOOKUP(D185,Product_Master!A:D,2,FALSE)</f>
        <v>Printer</v>
      </c>
      <c r="J185" t="str">
        <f>VLOOKUP(D185,Product_Master!A:D,3,FALSE)</f>
        <v>Electronics</v>
      </c>
      <c r="K185">
        <f>VLOOKUP(D185,Product_Master!A:D,4,FALSE)</f>
        <v>1100</v>
      </c>
      <c r="L185" t="str">
        <f>VLOOKUP(C185,Customer_Master!A:C,2,FALSE)</f>
        <v>Reliance</v>
      </c>
      <c r="M185" t="str">
        <f>VLOOKUP(C185,Customer_Master!A:C,3,FALSE)</f>
        <v>Corporate</v>
      </c>
      <c r="N185">
        <f>Table1[[#This Row],[Quantity]]*Table1[[#This Row],[Unit_Price]]</f>
        <v>11718</v>
      </c>
      <c r="O185">
        <f>(Table1[[#This Row],[Unit_Price]]-Table1[[#This Row],[Cost_Price]])*Table1[[#This Row],[Quantity]]</f>
        <v>4018</v>
      </c>
      <c r="P185">
        <f t="shared" si="2"/>
        <v>11718</v>
      </c>
      <c r="Q185" t="str">
        <f>TEXT(Table1[[#This Row],[Order_Date]],"mmm-yyyy")</f>
        <v>Dec-2024</v>
      </c>
    </row>
    <row r="186" spans="1:17" x14ac:dyDescent="0.35">
      <c r="A186" t="s">
        <v>360</v>
      </c>
      <c r="B186" t="s">
        <v>361</v>
      </c>
      <c r="C186" t="s">
        <v>21</v>
      </c>
      <c r="D186" t="s">
        <v>16</v>
      </c>
      <c r="E186" t="s">
        <v>12</v>
      </c>
      <c r="F186" t="s">
        <v>18</v>
      </c>
      <c r="G186">
        <v>3</v>
      </c>
      <c r="H186">
        <v>1864</v>
      </c>
      <c r="I186" t="str">
        <f>VLOOKUP(D186,Product_Master!A:D,2,FALSE)</f>
        <v>Printer</v>
      </c>
      <c r="J186" t="str">
        <f>VLOOKUP(D186,Product_Master!A:D,3,FALSE)</f>
        <v>Electronics</v>
      </c>
      <c r="K186">
        <f>VLOOKUP(D186,Product_Master!A:D,4,FALSE)</f>
        <v>1100</v>
      </c>
      <c r="L186" t="str">
        <f>VLOOKUP(C186,Customer_Master!A:C,2,FALSE)</f>
        <v>Reliance</v>
      </c>
      <c r="M186" t="str">
        <f>VLOOKUP(C186,Customer_Master!A:C,3,FALSE)</f>
        <v>Corporate</v>
      </c>
      <c r="N186">
        <f>Table1[[#This Row],[Quantity]]*Table1[[#This Row],[Unit_Price]]</f>
        <v>5592</v>
      </c>
      <c r="O186">
        <f>(Table1[[#This Row],[Unit_Price]]-Table1[[#This Row],[Cost_Price]])*Table1[[#This Row],[Quantity]]</f>
        <v>2292</v>
      </c>
      <c r="P186">
        <f t="shared" si="2"/>
        <v>5592</v>
      </c>
      <c r="Q186" t="str">
        <f>TEXT(Table1[[#This Row],[Order_Date]],"mmm-yyyy")</f>
        <v>Aug-2024</v>
      </c>
    </row>
    <row r="187" spans="1:17" x14ac:dyDescent="0.35">
      <c r="A187" t="s">
        <v>362</v>
      </c>
      <c r="B187" t="s">
        <v>173</v>
      </c>
      <c r="C187" t="s">
        <v>42</v>
      </c>
      <c r="D187" t="s">
        <v>22</v>
      </c>
      <c r="E187" t="s">
        <v>17</v>
      </c>
      <c r="F187" t="s">
        <v>18</v>
      </c>
      <c r="G187">
        <v>9</v>
      </c>
      <c r="H187">
        <v>1431</v>
      </c>
      <c r="I187" t="str">
        <f>VLOOKUP(D187,Product_Master!A:D,2,FALSE)</f>
        <v>Desk</v>
      </c>
      <c r="J187" t="str">
        <f>VLOOKUP(D187,Product_Master!A:D,3,FALSE)</f>
        <v>Furniture</v>
      </c>
      <c r="K187">
        <f>VLOOKUP(D187,Product_Master!A:D,4,FALSE)</f>
        <v>300</v>
      </c>
      <c r="L187" t="str">
        <f>VLOOKUP(C187,Customer_Master!A:C,2,FALSE)</f>
        <v>Ramesh</v>
      </c>
      <c r="M187" t="str">
        <f>VLOOKUP(C187,Customer_Master!A:C,3,FALSE)</f>
        <v>Consumer</v>
      </c>
      <c r="N187">
        <f>Table1[[#This Row],[Quantity]]*Table1[[#This Row],[Unit_Price]]</f>
        <v>12879</v>
      </c>
      <c r="O187">
        <f>(Table1[[#This Row],[Unit_Price]]-Table1[[#This Row],[Cost_Price]])*Table1[[#This Row],[Quantity]]</f>
        <v>10179</v>
      </c>
      <c r="P187">
        <f t="shared" si="2"/>
        <v>12879</v>
      </c>
      <c r="Q187" t="str">
        <f>TEXT(Table1[[#This Row],[Order_Date]],"mmm-yyyy")</f>
        <v>Oct-2024</v>
      </c>
    </row>
    <row r="188" spans="1:17" x14ac:dyDescent="0.35">
      <c r="A188" t="s">
        <v>363</v>
      </c>
      <c r="B188" t="s">
        <v>364</v>
      </c>
      <c r="C188" t="s">
        <v>45</v>
      </c>
      <c r="D188" t="s">
        <v>37</v>
      </c>
      <c r="E188" t="s">
        <v>33</v>
      </c>
      <c r="F188" t="s">
        <v>34</v>
      </c>
      <c r="G188">
        <v>4</v>
      </c>
      <c r="H188">
        <v>1216</v>
      </c>
      <c r="I188" t="str">
        <f>VLOOKUP(D188,Product_Master!A:D,2,FALSE)</f>
        <v>Mobile</v>
      </c>
      <c r="J188" t="str">
        <f>VLOOKUP(D188,Product_Master!A:D,3,FALSE)</f>
        <v>Electronics</v>
      </c>
      <c r="K188">
        <f>VLOOKUP(D188,Product_Master!A:D,4,FALSE)</f>
        <v>600</v>
      </c>
      <c r="L188" t="str">
        <f>VLOOKUP(C188,Customer_Master!A:C,2,FALSE)</f>
        <v>TCS</v>
      </c>
      <c r="M188" t="str">
        <f>VLOOKUP(C188,Customer_Master!A:C,3,FALSE)</f>
        <v>Corporate</v>
      </c>
      <c r="N188">
        <f>Table1[[#This Row],[Quantity]]*Table1[[#This Row],[Unit_Price]]</f>
        <v>4864</v>
      </c>
      <c r="O188">
        <f>(Table1[[#This Row],[Unit_Price]]-Table1[[#This Row],[Cost_Price]])*Table1[[#This Row],[Quantity]]</f>
        <v>2464</v>
      </c>
      <c r="P188">
        <f t="shared" si="2"/>
        <v>4864</v>
      </c>
      <c r="Q188" t="str">
        <f>TEXT(Table1[[#This Row],[Order_Date]],"mmm-yyyy")</f>
        <v>Aug-2024</v>
      </c>
    </row>
    <row r="189" spans="1:17" x14ac:dyDescent="0.35">
      <c r="A189" t="s">
        <v>365</v>
      </c>
      <c r="B189" t="s">
        <v>366</v>
      </c>
      <c r="C189" t="s">
        <v>45</v>
      </c>
      <c r="D189" t="s">
        <v>22</v>
      </c>
      <c r="E189" t="s">
        <v>33</v>
      </c>
      <c r="F189" t="s">
        <v>23</v>
      </c>
      <c r="G189">
        <v>2</v>
      </c>
      <c r="H189">
        <v>1423</v>
      </c>
      <c r="I189" t="str">
        <f>VLOOKUP(D189,Product_Master!A:D,2,FALSE)</f>
        <v>Desk</v>
      </c>
      <c r="J189" t="str">
        <f>VLOOKUP(D189,Product_Master!A:D,3,FALSE)</f>
        <v>Furniture</v>
      </c>
      <c r="K189">
        <f>VLOOKUP(D189,Product_Master!A:D,4,FALSE)</f>
        <v>300</v>
      </c>
      <c r="L189" t="str">
        <f>VLOOKUP(C189,Customer_Master!A:C,2,FALSE)</f>
        <v>TCS</v>
      </c>
      <c r="M189" t="str">
        <f>VLOOKUP(C189,Customer_Master!A:C,3,FALSE)</f>
        <v>Corporate</v>
      </c>
      <c r="N189">
        <f>Table1[[#This Row],[Quantity]]*Table1[[#This Row],[Unit_Price]]</f>
        <v>2846</v>
      </c>
      <c r="O189">
        <f>(Table1[[#This Row],[Unit_Price]]-Table1[[#This Row],[Cost_Price]])*Table1[[#This Row],[Quantity]]</f>
        <v>2246</v>
      </c>
      <c r="P189">
        <f t="shared" si="2"/>
        <v>2846</v>
      </c>
      <c r="Q189" t="str">
        <f>TEXT(Table1[[#This Row],[Order_Date]],"mmm-yyyy")</f>
        <v>Mar-2024</v>
      </c>
    </row>
    <row r="190" spans="1:17" x14ac:dyDescent="0.35">
      <c r="A190" t="s">
        <v>367</v>
      </c>
      <c r="B190" t="s">
        <v>368</v>
      </c>
      <c r="C190" t="s">
        <v>30</v>
      </c>
      <c r="D190" t="s">
        <v>37</v>
      </c>
      <c r="E190" t="s">
        <v>33</v>
      </c>
      <c r="F190" t="s">
        <v>23</v>
      </c>
      <c r="G190">
        <v>7</v>
      </c>
      <c r="H190">
        <v>1239</v>
      </c>
      <c r="I190" t="str">
        <f>VLOOKUP(D190,Product_Master!A:D,2,FALSE)</f>
        <v>Mobile</v>
      </c>
      <c r="J190" t="str">
        <f>VLOOKUP(D190,Product_Master!A:D,3,FALSE)</f>
        <v>Electronics</v>
      </c>
      <c r="K190">
        <f>VLOOKUP(D190,Product_Master!A:D,4,FALSE)</f>
        <v>600</v>
      </c>
      <c r="L190" t="str">
        <f>VLOOKUP(C190,Customer_Master!A:C,2,FALSE)</f>
        <v>Infosys</v>
      </c>
      <c r="M190" t="str">
        <f>VLOOKUP(C190,Customer_Master!A:C,3,FALSE)</f>
        <v>Corporate</v>
      </c>
      <c r="N190">
        <f>Table1[[#This Row],[Quantity]]*Table1[[#This Row],[Unit_Price]]</f>
        <v>8673</v>
      </c>
      <c r="O190">
        <f>(Table1[[#This Row],[Unit_Price]]-Table1[[#This Row],[Cost_Price]])*Table1[[#This Row],[Quantity]]</f>
        <v>4473</v>
      </c>
      <c r="P190">
        <f t="shared" si="2"/>
        <v>8673</v>
      </c>
      <c r="Q190" t="str">
        <f>TEXT(Table1[[#This Row],[Order_Date]],"mmm-yyyy")</f>
        <v>Oct-2024</v>
      </c>
    </row>
    <row r="191" spans="1:17" x14ac:dyDescent="0.35">
      <c r="A191" t="s">
        <v>369</v>
      </c>
      <c r="B191" t="s">
        <v>62</v>
      </c>
      <c r="C191" t="s">
        <v>30</v>
      </c>
      <c r="D191" t="s">
        <v>22</v>
      </c>
      <c r="E191" t="s">
        <v>17</v>
      </c>
      <c r="F191" t="s">
        <v>23</v>
      </c>
      <c r="G191">
        <v>3</v>
      </c>
      <c r="H191">
        <v>1057</v>
      </c>
      <c r="I191" t="str">
        <f>VLOOKUP(D191,Product_Master!A:D,2,FALSE)</f>
        <v>Desk</v>
      </c>
      <c r="J191" t="str">
        <f>VLOOKUP(D191,Product_Master!A:D,3,FALSE)</f>
        <v>Furniture</v>
      </c>
      <c r="K191">
        <f>VLOOKUP(D191,Product_Master!A:D,4,FALSE)</f>
        <v>300</v>
      </c>
      <c r="L191" t="str">
        <f>VLOOKUP(C191,Customer_Master!A:C,2,FALSE)</f>
        <v>Infosys</v>
      </c>
      <c r="M191" t="str">
        <f>VLOOKUP(C191,Customer_Master!A:C,3,FALSE)</f>
        <v>Corporate</v>
      </c>
      <c r="N191">
        <f>Table1[[#This Row],[Quantity]]*Table1[[#This Row],[Unit_Price]]</f>
        <v>3171</v>
      </c>
      <c r="O191">
        <f>(Table1[[#This Row],[Unit_Price]]-Table1[[#This Row],[Cost_Price]])*Table1[[#This Row],[Quantity]]</f>
        <v>2271</v>
      </c>
      <c r="P191">
        <f t="shared" si="2"/>
        <v>3171</v>
      </c>
      <c r="Q191" t="str">
        <f>TEXT(Table1[[#This Row],[Order_Date]],"mmm-yyyy")</f>
        <v>Jan-2024</v>
      </c>
    </row>
    <row r="192" spans="1:17" x14ac:dyDescent="0.35">
      <c r="A192" t="s">
        <v>370</v>
      </c>
      <c r="B192" t="s">
        <v>371</v>
      </c>
      <c r="C192" t="s">
        <v>10</v>
      </c>
      <c r="D192" t="s">
        <v>37</v>
      </c>
      <c r="E192" t="s">
        <v>12</v>
      </c>
      <c r="F192" t="s">
        <v>23</v>
      </c>
      <c r="G192">
        <v>9</v>
      </c>
      <c r="H192">
        <v>1967</v>
      </c>
      <c r="I192" t="str">
        <f>VLOOKUP(D192,Product_Master!A:D,2,FALSE)</f>
        <v>Mobile</v>
      </c>
      <c r="J192" t="str">
        <f>VLOOKUP(D192,Product_Master!A:D,3,FALSE)</f>
        <v>Electronics</v>
      </c>
      <c r="K192">
        <f>VLOOKUP(D192,Product_Master!A:D,4,FALSE)</f>
        <v>600</v>
      </c>
      <c r="L192" t="str">
        <f>VLOOKUP(C192,Customer_Master!A:C,2,FALSE)</f>
        <v>Suresh</v>
      </c>
      <c r="M192" t="str">
        <f>VLOOKUP(C192,Customer_Master!A:C,3,FALSE)</f>
        <v>Consumer</v>
      </c>
      <c r="N192">
        <f>Table1[[#This Row],[Quantity]]*Table1[[#This Row],[Unit_Price]]</f>
        <v>17703</v>
      </c>
      <c r="O192">
        <f>(Table1[[#This Row],[Unit_Price]]-Table1[[#This Row],[Cost_Price]])*Table1[[#This Row],[Quantity]]</f>
        <v>12303</v>
      </c>
      <c r="P192">
        <f t="shared" si="2"/>
        <v>17703</v>
      </c>
      <c r="Q192" t="str">
        <f>TEXT(Table1[[#This Row],[Order_Date]],"mmm-yyyy")</f>
        <v>Mar-2024</v>
      </c>
    </row>
    <row r="193" spans="1:17" x14ac:dyDescent="0.35">
      <c r="A193" t="s">
        <v>372</v>
      </c>
      <c r="B193" t="s">
        <v>359</v>
      </c>
      <c r="C193" t="s">
        <v>42</v>
      </c>
      <c r="D193" t="s">
        <v>11</v>
      </c>
      <c r="E193" t="s">
        <v>12</v>
      </c>
      <c r="F193" t="s">
        <v>34</v>
      </c>
      <c r="G193">
        <v>7</v>
      </c>
      <c r="H193">
        <v>1477</v>
      </c>
      <c r="I193" t="str">
        <f>VLOOKUP(D193,Product_Master!A:D,2,FALSE)</f>
        <v>Chair</v>
      </c>
      <c r="J193" t="str">
        <f>VLOOKUP(D193,Product_Master!A:D,3,FALSE)</f>
        <v>Furniture</v>
      </c>
      <c r="K193">
        <f>VLOOKUP(D193,Product_Master!A:D,4,FALSE)</f>
        <v>150</v>
      </c>
      <c r="L193" t="str">
        <f>VLOOKUP(C193,Customer_Master!A:C,2,FALSE)</f>
        <v>Ramesh</v>
      </c>
      <c r="M193" t="str">
        <f>VLOOKUP(C193,Customer_Master!A:C,3,FALSE)</f>
        <v>Consumer</v>
      </c>
      <c r="N193">
        <f>Table1[[#This Row],[Quantity]]*Table1[[#This Row],[Unit_Price]]</f>
        <v>10339</v>
      </c>
      <c r="O193">
        <f>(Table1[[#This Row],[Unit_Price]]-Table1[[#This Row],[Cost_Price]])*Table1[[#This Row],[Quantity]]</f>
        <v>9289</v>
      </c>
      <c r="P193">
        <f t="shared" si="2"/>
        <v>10339</v>
      </c>
      <c r="Q193" t="str">
        <f>TEXT(Table1[[#This Row],[Order_Date]],"mmm-yyyy")</f>
        <v>Dec-2024</v>
      </c>
    </row>
    <row r="194" spans="1:17" x14ac:dyDescent="0.35">
      <c r="A194" t="s">
        <v>373</v>
      </c>
      <c r="B194" t="s">
        <v>374</v>
      </c>
      <c r="C194" t="s">
        <v>21</v>
      </c>
      <c r="D194" t="s">
        <v>11</v>
      </c>
      <c r="E194" t="s">
        <v>33</v>
      </c>
      <c r="F194" t="s">
        <v>23</v>
      </c>
      <c r="G194">
        <v>5</v>
      </c>
      <c r="H194">
        <v>1990</v>
      </c>
      <c r="I194" t="str">
        <f>VLOOKUP(D194,Product_Master!A:D,2,FALSE)</f>
        <v>Chair</v>
      </c>
      <c r="J194" t="str">
        <f>VLOOKUP(D194,Product_Master!A:D,3,FALSE)</f>
        <v>Furniture</v>
      </c>
      <c r="K194">
        <f>VLOOKUP(D194,Product_Master!A:D,4,FALSE)</f>
        <v>150</v>
      </c>
      <c r="L194" t="str">
        <f>VLOOKUP(C194,Customer_Master!A:C,2,FALSE)</f>
        <v>Reliance</v>
      </c>
      <c r="M194" t="str">
        <f>VLOOKUP(C194,Customer_Master!A:C,3,FALSE)</f>
        <v>Corporate</v>
      </c>
      <c r="N194">
        <f>Table1[[#This Row],[Quantity]]*Table1[[#This Row],[Unit_Price]]</f>
        <v>9950</v>
      </c>
      <c r="O194">
        <f>(Table1[[#This Row],[Unit_Price]]-Table1[[#This Row],[Cost_Price]])*Table1[[#This Row],[Quantity]]</f>
        <v>9200</v>
      </c>
      <c r="P194">
        <f t="shared" ref="P194:P257" si="3">VALUE(N194)</f>
        <v>9950</v>
      </c>
      <c r="Q194" t="str">
        <f>TEXT(Table1[[#This Row],[Order_Date]],"mmm-yyyy")</f>
        <v>Nov-2024</v>
      </c>
    </row>
    <row r="195" spans="1:17" x14ac:dyDescent="0.35">
      <c r="A195" t="s">
        <v>375</v>
      </c>
      <c r="B195" t="s">
        <v>376</v>
      </c>
      <c r="C195" t="s">
        <v>10</v>
      </c>
      <c r="D195" t="s">
        <v>26</v>
      </c>
      <c r="E195" t="s">
        <v>17</v>
      </c>
      <c r="F195" t="s">
        <v>23</v>
      </c>
      <c r="G195">
        <v>2</v>
      </c>
      <c r="H195">
        <v>961</v>
      </c>
      <c r="I195" t="str">
        <f>VLOOKUP(D195,Product_Master!A:D,2,FALSE)</f>
        <v>Laptop</v>
      </c>
      <c r="J195" t="str">
        <f>VLOOKUP(D195,Product_Master!A:D,3,FALSE)</f>
        <v>Electronics</v>
      </c>
      <c r="K195">
        <f>VLOOKUP(D195,Product_Master!A:D,4,FALSE)</f>
        <v>900</v>
      </c>
      <c r="L195" t="str">
        <f>VLOOKUP(C195,Customer_Master!A:C,2,FALSE)</f>
        <v>Suresh</v>
      </c>
      <c r="M195" t="str">
        <f>VLOOKUP(C195,Customer_Master!A:C,3,FALSE)</f>
        <v>Consumer</v>
      </c>
      <c r="N195">
        <f>Table1[[#This Row],[Quantity]]*Table1[[#This Row],[Unit_Price]]</f>
        <v>1922</v>
      </c>
      <c r="O195">
        <f>(Table1[[#This Row],[Unit_Price]]-Table1[[#This Row],[Cost_Price]])*Table1[[#This Row],[Quantity]]</f>
        <v>122</v>
      </c>
      <c r="P195">
        <f t="shared" si="3"/>
        <v>1922</v>
      </c>
      <c r="Q195" t="str">
        <f>TEXT(Table1[[#This Row],[Order_Date]],"mmm-yyyy")</f>
        <v>May-2024</v>
      </c>
    </row>
    <row r="196" spans="1:17" x14ac:dyDescent="0.35">
      <c r="A196" t="s">
        <v>377</v>
      </c>
      <c r="B196" t="s">
        <v>378</v>
      </c>
      <c r="C196" t="s">
        <v>45</v>
      </c>
      <c r="D196" t="s">
        <v>11</v>
      </c>
      <c r="E196" t="s">
        <v>12</v>
      </c>
      <c r="F196" t="s">
        <v>13</v>
      </c>
      <c r="G196">
        <v>9</v>
      </c>
      <c r="H196">
        <v>1617</v>
      </c>
      <c r="I196" t="str">
        <f>VLOOKUP(D196,Product_Master!A:D,2,FALSE)</f>
        <v>Chair</v>
      </c>
      <c r="J196" t="str">
        <f>VLOOKUP(D196,Product_Master!A:D,3,FALSE)</f>
        <v>Furniture</v>
      </c>
      <c r="K196">
        <f>VLOOKUP(D196,Product_Master!A:D,4,FALSE)</f>
        <v>150</v>
      </c>
      <c r="L196" t="str">
        <f>VLOOKUP(C196,Customer_Master!A:C,2,FALSE)</f>
        <v>TCS</v>
      </c>
      <c r="M196" t="str">
        <f>VLOOKUP(C196,Customer_Master!A:C,3,FALSE)</f>
        <v>Corporate</v>
      </c>
      <c r="N196">
        <f>Table1[[#This Row],[Quantity]]*Table1[[#This Row],[Unit_Price]]</f>
        <v>14553</v>
      </c>
      <c r="O196">
        <f>(Table1[[#This Row],[Unit_Price]]-Table1[[#This Row],[Cost_Price]])*Table1[[#This Row],[Quantity]]</f>
        <v>13203</v>
      </c>
      <c r="P196">
        <f t="shared" si="3"/>
        <v>14553</v>
      </c>
      <c r="Q196" t="str">
        <f>TEXT(Table1[[#This Row],[Order_Date]],"mmm-yyyy")</f>
        <v>Feb-2024</v>
      </c>
    </row>
    <row r="197" spans="1:17" x14ac:dyDescent="0.35">
      <c r="A197" t="s">
        <v>379</v>
      </c>
      <c r="B197" t="s">
        <v>380</v>
      </c>
      <c r="C197" t="s">
        <v>10</v>
      </c>
      <c r="D197" t="s">
        <v>37</v>
      </c>
      <c r="E197" t="s">
        <v>17</v>
      </c>
      <c r="F197" t="s">
        <v>23</v>
      </c>
      <c r="G197">
        <v>8</v>
      </c>
      <c r="H197">
        <v>1831</v>
      </c>
      <c r="I197" t="str">
        <f>VLOOKUP(D197,Product_Master!A:D,2,FALSE)</f>
        <v>Mobile</v>
      </c>
      <c r="J197" t="str">
        <f>VLOOKUP(D197,Product_Master!A:D,3,FALSE)</f>
        <v>Electronics</v>
      </c>
      <c r="K197">
        <f>VLOOKUP(D197,Product_Master!A:D,4,FALSE)</f>
        <v>600</v>
      </c>
      <c r="L197" t="str">
        <f>VLOOKUP(C197,Customer_Master!A:C,2,FALSE)</f>
        <v>Suresh</v>
      </c>
      <c r="M197" t="str">
        <f>VLOOKUP(C197,Customer_Master!A:C,3,FALSE)</f>
        <v>Consumer</v>
      </c>
      <c r="N197">
        <f>Table1[[#This Row],[Quantity]]*Table1[[#This Row],[Unit_Price]]</f>
        <v>14648</v>
      </c>
      <c r="O197">
        <f>(Table1[[#This Row],[Unit_Price]]-Table1[[#This Row],[Cost_Price]])*Table1[[#This Row],[Quantity]]</f>
        <v>9848</v>
      </c>
      <c r="P197">
        <f t="shared" si="3"/>
        <v>14648</v>
      </c>
      <c r="Q197" t="str">
        <f>TEXT(Table1[[#This Row],[Order_Date]],"mmm-yyyy")</f>
        <v>Jan-2024</v>
      </c>
    </row>
    <row r="198" spans="1:17" x14ac:dyDescent="0.35">
      <c r="A198" t="s">
        <v>381</v>
      </c>
      <c r="B198" t="s">
        <v>382</v>
      </c>
      <c r="C198" t="s">
        <v>10</v>
      </c>
      <c r="D198" t="s">
        <v>37</v>
      </c>
      <c r="E198" t="s">
        <v>33</v>
      </c>
      <c r="F198" t="s">
        <v>34</v>
      </c>
      <c r="G198">
        <v>9</v>
      </c>
      <c r="H198">
        <v>1367</v>
      </c>
      <c r="I198" t="str">
        <f>VLOOKUP(D198,Product_Master!A:D,2,FALSE)</f>
        <v>Mobile</v>
      </c>
      <c r="J198" t="str">
        <f>VLOOKUP(D198,Product_Master!A:D,3,FALSE)</f>
        <v>Electronics</v>
      </c>
      <c r="K198">
        <f>VLOOKUP(D198,Product_Master!A:D,4,FALSE)</f>
        <v>600</v>
      </c>
      <c r="L198" t="str">
        <f>VLOOKUP(C198,Customer_Master!A:C,2,FALSE)</f>
        <v>Suresh</v>
      </c>
      <c r="M198" t="str">
        <f>VLOOKUP(C198,Customer_Master!A:C,3,FALSE)</f>
        <v>Consumer</v>
      </c>
      <c r="N198">
        <f>Table1[[#This Row],[Quantity]]*Table1[[#This Row],[Unit_Price]]</f>
        <v>12303</v>
      </c>
      <c r="O198">
        <f>(Table1[[#This Row],[Unit_Price]]-Table1[[#This Row],[Cost_Price]])*Table1[[#This Row],[Quantity]]</f>
        <v>6903</v>
      </c>
      <c r="P198">
        <f t="shared" si="3"/>
        <v>12303</v>
      </c>
      <c r="Q198" t="str">
        <f>TEXT(Table1[[#This Row],[Order_Date]],"mmm-yyyy")</f>
        <v>Feb-2024</v>
      </c>
    </row>
    <row r="199" spans="1:17" x14ac:dyDescent="0.35">
      <c r="A199" t="s">
        <v>383</v>
      </c>
      <c r="B199" t="s">
        <v>384</v>
      </c>
      <c r="C199" t="s">
        <v>21</v>
      </c>
      <c r="D199" t="s">
        <v>22</v>
      </c>
      <c r="E199" t="s">
        <v>12</v>
      </c>
      <c r="F199" t="s">
        <v>13</v>
      </c>
      <c r="G199">
        <v>6</v>
      </c>
      <c r="H199">
        <v>1090</v>
      </c>
      <c r="I199" t="str">
        <f>VLOOKUP(D199,Product_Master!A:D,2,FALSE)</f>
        <v>Desk</v>
      </c>
      <c r="J199" t="str">
        <f>VLOOKUP(D199,Product_Master!A:D,3,FALSE)</f>
        <v>Furniture</v>
      </c>
      <c r="K199">
        <f>VLOOKUP(D199,Product_Master!A:D,4,FALSE)</f>
        <v>300</v>
      </c>
      <c r="L199" t="str">
        <f>VLOOKUP(C199,Customer_Master!A:C,2,FALSE)</f>
        <v>Reliance</v>
      </c>
      <c r="M199" t="str">
        <f>VLOOKUP(C199,Customer_Master!A:C,3,FALSE)</f>
        <v>Corporate</v>
      </c>
      <c r="N199">
        <f>Table1[[#This Row],[Quantity]]*Table1[[#This Row],[Unit_Price]]</f>
        <v>6540</v>
      </c>
      <c r="O199">
        <f>(Table1[[#This Row],[Unit_Price]]-Table1[[#This Row],[Cost_Price]])*Table1[[#This Row],[Quantity]]</f>
        <v>4740</v>
      </c>
      <c r="P199">
        <f t="shared" si="3"/>
        <v>6540</v>
      </c>
      <c r="Q199" t="str">
        <f>TEXT(Table1[[#This Row],[Order_Date]],"mmm-yyyy")</f>
        <v>Jan-2024</v>
      </c>
    </row>
    <row r="200" spans="1:17" x14ac:dyDescent="0.35">
      <c r="A200" t="s">
        <v>385</v>
      </c>
      <c r="B200" t="s">
        <v>386</v>
      </c>
      <c r="C200" t="s">
        <v>42</v>
      </c>
      <c r="D200" t="s">
        <v>11</v>
      </c>
      <c r="E200" t="s">
        <v>12</v>
      </c>
      <c r="F200" t="s">
        <v>18</v>
      </c>
      <c r="G200">
        <v>2</v>
      </c>
      <c r="H200">
        <v>1251</v>
      </c>
      <c r="I200" t="str">
        <f>VLOOKUP(D200,Product_Master!A:D,2,FALSE)</f>
        <v>Chair</v>
      </c>
      <c r="J200" t="str">
        <f>VLOOKUP(D200,Product_Master!A:D,3,FALSE)</f>
        <v>Furniture</v>
      </c>
      <c r="K200">
        <f>VLOOKUP(D200,Product_Master!A:D,4,FALSE)</f>
        <v>150</v>
      </c>
      <c r="L200" t="str">
        <f>VLOOKUP(C200,Customer_Master!A:C,2,FALSE)</f>
        <v>Ramesh</v>
      </c>
      <c r="M200" t="str">
        <f>VLOOKUP(C200,Customer_Master!A:C,3,FALSE)</f>
        <v>Consumer</v>
      </c>
      <c r="N200">
        <f>Table1[[#This Row],[Quantity]]*Table1[[#This Row],[Unit_Price]]</f>
        <v>2502</v>
      </c>
      <c r="O200">
        <f>(Table1[[#This Row],[Unit_Price]]-Table1[[#This Row],[Cost_Price]])*Table1[[#This Row],[Quantity]]</f>
        <v>2202</v>
      </c>
      <c r="P200">
        <f t="shared" si="3"/>
        <v>2502</v>
      </c>
      <c r="Q200" t="str">
        <f>TEXT(Table1[[#This Row],[Order_Date]],"mmm-yyyy")</f>
        <v>Feb-2024</v>
      </c>
    </row>
    <row r="201" spans="1:17" x14ac:dyDescent="0.35">
      <c r="A201" t="s">
        <v>387</v>
      </c>
      <c r="B201" t="s">
        <v>361</v>
      </c>
      <c r="C201" t="s">
        <v>21</v>
      </c>
      <c r="D201" t="s">
        <v>37</v>
      </c>
      <c r="E201" t="s">
        <v>17</v>
      </c>
      <c r="F201" t="s">
        <v>23</v>
      </c>
      <c r="G201">
        <v>7</v>
      </c>
      <c r="H201">
        <v>1034</v>
      </c>
      <c r="I201" t="str">
        <f>VLOOKUP(D201,Product_Master!A:D,2,FALSE)</f>
        <v>Mobile</v>
      </c>
      <c r="J201" t="str">
        <f>VLOOKUP(D201,Product_Master!A:D,3,FALSE)</f>
        <v>Electronics</v>
      </c>
      <c r="K201">
        <f>VLOOKUP(D201,Product_Master!A:D,4,FALSE)</f>
        <v>600</v>
      </c>
      <c r="L201" t="str">
        <f>VLOOKUP(C201,Customer_Master!A:C,2,FALSE)</f>
        <v>Reliance</v>
      </c>
      <c r="M201" t="str">
        <f>VLOOKUP(C201,Customer_Master!A:C,3,FALSE)</f>
        <v>Corporate</v>
      </c>
      <c r="N201">
        <f>Table1[[#This Row],[Quantity]]*Table1[[#This Row],[Unit_Price]]</f>
        <v>7238</v>
      </c>
      <c r="O201">
        <f>(Table1[[#This Row],[Unit_Price]]-Table1[[#This Row],[Cost_Price]])*Table1[[#This Row],[Quantity]]</f>
        <v>3038</v>
      </c>
      <c r="P201">
        <f t="shared" si="3"/>
        <v>7238</v>
      </c>
      <c r="Q201" t="str">
        <f>TEXT(Table1[[#This Row],[Order_Date]],"mmm-yyyy")</f>
        <v>Aug-2024</v>
      </c>
    </row>
    <row r="202" spans="1:17" x14ac:dyDescent="0.35">
      <c r="A202" t="s">
        <v>388</v>
      </c>
      <c r="B202" t="s">
        <v>242</v>
      </c>
      <c r="C202" t="s">
        <v>45</v>
      </c>
      <c r="D202" t="s">
        <v>11</v>
      </c>
      <c r="E202" t="s">
        <v>27</v>
      </c>
      <c r="F202" t="s">
        <v>34</v>
      </c>
      <c r="G202">
        <v>4</v>
      </c>
      <c r="H202">
        <v>1542</v>
      </c>
      <c r="I202" t="str">
        <f>VLOOKUP(D202,Product_Master!A:D,2,FALSE)</f>
        <v>Chair</v>
      </c>
      <c r="J202" t="str">
        <f>VLOOKUP(D202,Product_Master!A:D,3,FALSE)</f>
        <v>Furniture</v>
      </c>
      <c r="K202">
        <f>VLOOKUP(D202,Product_Master!A:D,4,FALSE)</f>
        <v>150</v>
      </c>
      <c r="L202" t="str">
        <f>VLOOKUP(C202,Customer_Master!A:C,2,FALSE)</f>
        <v>TCS</v>
      </c>
      <c r="M202" t="str">
        <f>VLOOKUP(C202,Customer_Master!A:C,3,FALSE)</f>
        <v>Corporate</v>
      </c>
      <c r="N202">
        <f>Table1[[#This Row],[Quantity]]*Table1[[#This Row],[Unit_Price]]</f>
        <v>6168</v>
      </c>
      <c r="O202">
        <f>(Table1[[#This Row],[Unit_Price]]-Table1[[#This Row],[Cost_Price]])*Table1[[#This Row],[Quantity]]</f>
        <v>5568</v>
      </c>
      <c r="P202">
        <f t="shared" si="3"/>
        <v>6168</v>
      </c>
      <c r="Q202" t="str">
        <f>TEXT(Table1[[#This Row],[Order_Date]],"mmm-yyyy")</f>
        <v>May-2024</v>
      </c>
    </row>
    <row r="203" spans="1:17" x14ac:dyDescent="0.35">
      <c r="A203" t="s">
        <v>389</v>
      </c>
      <c r="B203" t="s">
        <v>215</v>
      </c>
      <c r="C203" t="s">
        <v>10</v>
      </c>
      <c r="D203" t="s">
        <v>26</v>
      </c>
      <c r="E203" t="s">
        <v>17</v>
      </c>
      <c r="F203" t="s">
        <v>34</v>
      </c>
      <c r="G203">
        <v>8</v>
      </c>
      <c r="H203">
        <v>1847</v>
      </c>
      <c r="I203" t="str">
        <f>VLOOKUP(D203,Product_Master!A:D,2,FALSE)</f>
        <v>Laptop</v>
      </c>
      <c r="J203" t="str">
        <f>VLOOKUP(D203,Product_Master!A:D,3,FALSE)</f>
        <v>Electronics</v>
      </c>
      <c r="K203">
        <f>VLOOKUP(D203,Product_Master!A:D,4,FALSE)</f>
        <v>900</v>
      </c>
      <c r="L203" t="str">
        <f>VLOOKUP(C203,Customer_Master!A:C,2,FALSE)</f>
        <v>Suresh</v>
      </c>
      <c r="M203" t="str">
        <f>VLOOKUP(C203,Customer_Master!A:C,3,FALSE)</f>
        <v>Consumer</v>
      </c>
      <c r="N203">
        <f>Table1[[#This Row],[Quantity]]*Table1[[#This Row],[Unit_Price]]</f>
        <v>14776</v>
      </c>
      <c r="O203">
        <f>(Table1[[#This Row],[Unit_Price]]-Table1[[#This Row],[Cost_Price]])*Table1[[#This Row],[Quantity]]</f>
        <v>7576</v>
      </c>
      <c r="P203">
        <f t="shared" si="3"/>
        <v>14776</v>
      </c>
      <c r="Q203" t="str">
        <f>TEXT(Table1[[#This Row],[Order_Date]],"mmm-yyyy")</f>
        <v>Jun-2024</v>
      </c>
    </row>
    <row r="204" spans="1:17" x14ac:dyDescent="0.35">
      <c r="A204" t="s">
        <v>390</v>
      </c>
      <c r="B204" t="s">
        <v>391</v>
      </c>
      <c r="C204" t="s">
        <v>21</v>
      </c>
      <c r="D204" t="s">
        <v>37</v>
      </c>
      <c r="E204" t="s">
        <v>33</v>
      </c>
      <c r="F204" t="s">
        <v>23</v>
      </c>
      <c r="G204">
        <v>7</v>
      </c>
      <c r="H204">
        <v>1380</v>
      </c>
      <c r="I204" t="str">
        <f>VLOOKUP(D204,Product_Master!A:D,2,FALSE)</f>
        <v>Mobile</v>
      </c>
      <c r="J204" t="str">
        <f>VLOOKUP(D204,Product_Master!A:D,3,FALSE)</f>
        <v>Electronics</v>
      </c>
      <c r="K204">
        <f>VLOOKUP(D204,Product_Master!A:D,4,FALSE)</f>
        <v>600</v>
      </c>
      <c r="L204" t="str">
        <f>VLOOKUP(C204,Customer_Master!A:C,2,FALSE)</f>
        <v>Reliance</v>
      </c>
      <c r="M204" t="str">
        <f>VLOOKUP(C204,Customer_Master!A:C,3,FALSE)</f>
        <v>Corporate</v>
      </c>
      <c r="N204">
        <f>Table1[[#This Row],[Quantity]]*Table1[[#This Row],[Unit_Price]]</f>
        <v>9660</v>
      </c>
      <c r="O204">
        <f>(Table1[[#This Row],[Unit_Price]]-Table1[[#This Row],[Cost_Price]])*Table1[[#This Row],[Quantity]]</f>
        <v>5460</v>
      </c>
      <c r="P204">
        <f t="shared" si="3"/>
        <v>9660</v>
      </c>
      <c r="Q204" t="str">
        <f>TEXT(Table1[[#This Row],[Order_Date]],"mmm-yyyy")</f>
        <v>Apr-2024</v>
      </c>
    </row>
    <row r="205" spans="1:17" x14ac:dyDescent="0.35">
      <c r="A205" t="s">
        <v>392</v>
      </c>
      <c r="B205" t="s">
        <v>393</v>
      </c>
      <c r="C205" t="s">
        <v>10</v>
      </c>
      <c r="D205" t="s">
        <v>22</v>
      </c>
      <c r="E205" t="s">
        <v>33</v>
      </c>
      <c r="F205" t="s">
        <v>23</v>
      </c>
      <c r="G205">
        <v>2</v>
      </c>
      <c r="H205">
        <v>1285</v>
      </c>
      <c r="I205" t="str">
        <f>VLOOKUP(D205,Product_Master!A:D,2,FALSE)</f>
        <v>Desk</v>
      </c>
      <c r="J205" t="str">
        <f>VLOOKUP(D205,Product_Master!A:D,3,FALSE)</f>
        <v>Furniture</v>
      </c>
      <c r="K205">
        <f>VLOOKUP(D205,Product_Master!A:D,4,FALSE)</f>
        <v>300</v>
      </c>
      <c r="L205" t="str">
        <f>VLOOKUP(C205,Customer_Master!A:C,2,FALSE)</f>
        <v>Suresh</v>
      </c>
      <c r="M205" t="str">
        <f>VLOOKUP(C205,Customer_Master!A:C,3,FALSE)</f>
        <v>Consumer</v>
      </c>
      <c r="N205">
        <f>Table1[[#This Row],[Quantity]]*Table1[[#This Row],[Unit_Price]]</f>
        <v>2570</v>
      </c>
      <c r="O205">
        <f>(Table1[[#This Row],[Unit_Price]]-Table1[[#This Row],[Cost_Price]])*Table1[[#This Row],[Quantity]]</f>
        <v>1970</v>
      </c>
      <c r="P205">
        <f t="shared" si="3"/>
        <v>2570</v>
      </c>
      <c r="Q205" t="str">
        <f>TEXT(Table1[[#This Row],[Order_Date]],"mmm-yyyy")</f>
        <v>Jan-2024</v>
      </c>
    </row>
    <row r="206" spans="1:17" x14ac:dyDescent="0.35">
      <c r="A206" t="s">
        <v>394</v>
      </c>
      <c r="B206" t="s">
        <v>395</v>
      </c>
      <c r="C206" t="s">
        <v>10</v>
      </c>
      <c r="D206" t="s">
        <v>37</v>
      </c>
      <c r="E206" t="s">
        <v>27</v>
      </c>
      <c r="F206" t="s">
        <v>23</v>
      </c>
      <c r="G206">
        <v>7</v>
      </c>
      <c r="H206">
        <v>825</v>
      </c>
      <c r="I206" t="str">
        <f>VLOOKUP(D206,Product_Master!A:D,2,FALSE)</f>
        <v>Mobile</v>
      </c>
      <c r="J206" t="str">
        <f>VLOOKUP(D206,Product_Master!A:D,3,FALSE)</f>
        <v>Electronics</v>
      </c>
      <c r="K206">
        <f>VLOOKUP(D206,Product_Master!A:D,4,FALSE)</f>
        <v>600</v>
      </c>
      <c r="L206" t="str">
        <f>VLOOKUP(C206,Customer_Master!A:C,2,FALSE)</f>
        <v>Suresh</v>
      </c>
      <c r="M206" t="str">
        <f>VLOOKUP(C206,Customer_Master!A:C,3,FALSE)</f>
        <v>Consumer</v>
      </c>
      <c r="N206">
        <f>Table1[[#This Row],[Quantity]]*Table1[[#This Row],[Unit_Price]]</f>
        <v>5775</v>
      </c>
      <c r="O206">
        <f>(Table1[[#This Row],[Unit_Price]]-Table1[[#This Row],[Cost_Price]])*Table1[[#This Row],[Quantity]]</f>
        <v>1575</v>
      </c>
      <c r="P206">
        <f t="shared" si="3"/>
        <v>5775</v>
      </c>
      <c r="Q206" t="str">
        <f>TEXT(Table1[[#This Row],[Order_Date]],"mmm-yyyy")</f>
        <v>Jan-2024</v>
      </c>
    </row>
    <row r="207" spans="1:17" x14ac:dyDescent="0.35">
      <c r="A207" t="s">
        <v>396</v>
      </c>
      <c r="B207" t="s">
        <v>397</v>
      </c>
      <c r="C207" t="s">
        <v>21</v>
      </c>
      <c r="D207" t="s">
        <v>37</v>
      </c>
      <c r="E207" t="s">
        <v>27</v>
      </c>
      <c r="F207" t="s">
        <v>18</v>
      </c>
      <c r="G207">
        <v>2</v>
      </c>
      <c r="H207">
        <v>1431</v>
      </c>
      <c r="I207" t="str">
        <f>VLOOKUP(D207,Product_Master!A:D,2,FALSE)</f>
        <v>Mobile</v>
      </c>
      <c r="J207" t="str">
        <f>VLOOKUP(D207,Product_Master!A:D,3,FALSE)</f>
        <v>Electronics</v>
      </c>
      <c r="K207">
        <f>VLOOKUP(D207,Product_Master!A:D,4,FALSE)</f>
        <v>600</v>
      </c>
      <c r="L207" t="str">
        <f>VLOOKUP(C207,Customer_Master!A:C,2,FALSE)</f>
        <v>Reliance</v>
      </c>
      <c r="M207" t="str">
        <f>VLOOKUP(C207,Customer_Master!A:C,3,FALSE)</f>
        <v>Corporate</v>
      </c>
      <c r="N207">
        <f>Table1[[#This Row],[Quantity]]*Table1[[#This Row],[Unit_Price]]</f>
        <v>2862</v>
      </c>
      <c r="O207">
        <f>(Table1[[#This Row],[Unit_Price]]-Table1[[#This Row],[Cost_Price]])*Table1[[#This Row],[Quantity]]</f>
        <v>1662</v>
      </c>
      <c r="P207">
        <f t="shared" si="3"/>
        <v>2862</v>
      </c>
      <c r="Q207" t="str">
        <f>TEXT(Table1[[#This Row],[Order_Date]],"mmm-yyyy")</f>
        <v>Apr-2024</v>
      </c>
    </row>
    <row r="208" spans="1:17" x14ac:dyDescent="0.35">
      <c r="A208" t="s">
        <v>398</v>
      </c>
      <c r="B208" t="s">
        <v>399</v>
      </c>
      <c r="C208" t="s">
        <v>10</v>
      </c>
      <c r="D208" t="s">
        <v>22</v>
      </c>
      <c r="E208" t="s">
        <v>17</v>
      </c>
      <c r="F208" t="s">
        <v>34</v>
      </c>
      <c r="G208">
        <v>3</v>
      </c>
      <c r="H208">
        <v>1256</v>
      </c>
      <c r="I208" t="str">
        <f>VLOOKUP(D208,Product_Master!A:D,2,FALSE)</f>
        <v>Desk</v>
      </c>
      <c r="J208" t="str">
        <f>VLOOKUP(D208,Product_Master!A:D,3,FALSE)</f>
        <v>Furniture</v>
      </c>
      <c r="K208">
        <f>VLOOKUP(D208,Product_Master!A:D,4,FALSE)</f>
        <v>300</v>
      </c>
      <c r="L208" t="str">
        <f>VLOOKUP(C208,Customer_Master!A:C,2,FALSE)</f>
        <v>Suresh</v>
      </c>
      <c r="M208" t="str">
        <f>VLOOKUP(C208,Customer_Master!A:C,3,FALSE)</f>
        <v>Consumer</v>
      </c>
      <c r="N208">
        <f>Table1[[#This Row],[Quantity]]*Table1[[#This Row],[Unit_Price]]</f>
        <v>3768</v>
      </c>
      <c r="O208">
        <f>(Table1[[#This Row],[Unit_Price]]-Table1[[#This Row],[Cost_Price]])*Table1[[#This Row],[Quantity]]</f>
        <v>2868</v>
      </c>
      <c r="P208">
        <f t="shared" si="3"/>
        <v>3768</v>
      </c>
      <c r="Q208" t="str">
        <f>TEXT(Table1[[#This Row],[Order_Date]],"mmm-yyyy")</f>
        <v>Jun-2024</v>
      </c>
    </row>
    <row r="209" spans="1:17" x14ac:dyDescent="0.35">
      <c r="A209" t="s">
        <v>400</v>
      </c>
      <c r="B209" t="s">
        <v>401</v>
      </c>
      <c r="C209" t="s">
        <v>45</v>
      </c>
      <c r="D209" t="s">
        <v>16</v>
      </c>
      <c r="E209" t="s">
        <v>33</v>
      </c>
      <c r="F209" t="s">
        <v>13</v>
      </c>
      <c r="G209">
        <v>8</v>
      </c>
      <c r="H209">
        <v>1141</v>
      </c>
      <c r="I209" t="str">
        <f>VLOOKUP(D209,Product_Master!A:D,2,FALSE)</f>
        <v>Printer</v>
      </c>
      <c r="J209" t="str">
        <f>VLOOKUP(D209,Product_Master!A:D,3,FALSE)</f>
        <v>Electronics</v>
      </c>
      <c r="K209">
        <f>VLOOKUP(D209,Product_Master!A:D,4,FALSE)</f>
        <v>1100</v>
      </c>
      <c r="L209" t="str">
        <f>VLOOKUP(C209,Customer_Master!A:C,2,FALSE)</f>
        <v>TCS</v>
      </c>
      <c r="M209" t="str">
        <f>VLOOKUP(C209,Customer_Master!A:C,3,FALSE)</f>
        <v>Corporate</v>
      </c>
      <c r="N209">
        <f>Table1[[#This Row],[Quantity]]*Table1[[#This Row],[Unit_Price]]</f>
        <v>9128</v>
      </c>
      <c r="O209">
        <f>(Table1[[#This Row],[Unit_Price]]-Table1[[#This Row],[Cost_Price]])*Table1[[#This Row],[Quantity]]</f>
        <v>328</v>
      </c>
      <c r="P209">
        <f t="shared" si="3"/>
        <v>9128</v>
      </c>
      <c r="Q209" t="str">
        <f>TEXT(Table1[[#This Row],[Order_Date]],"mmm-yyyy")</f>
        <v>Sep-2024</v>
      </c>
    </row>
    <row r="210" spans="1:17" x14ac:dyDescent="0.35">
      <c r="A210" t="s">
        <v>402</v>
      </c>
      <c r="B210" t="s">
        <v>403</v>
      </c>
      <c r="C210" t="s">
        <v>45</v>
      </c>
      <c r="D210" t="s">
        <v>11</v>
      </c>
      <c r="E210" t="s">
        <v>33</v>
      </c>
      <c r="F210" t="s">
        <v>34</v>
      </c>
      <c r="G210">
        <v>1</v>
      </c>
      <c r="H210">
        <v>1166</v>
      </c>
      <c r="I210" t="str">
        <f>VLOOKUP(D210,Product_Master!A:D,2,FALSE)</f>
        <v>Chair</v>
      </c>
      <c r="J210" t="str">
        <f>VLOOKUP(D210,Product_Master!A:D,3,FALSE)</f>
        <v>Furniture</v>
      </c>
      <c r="K210">
        <f>VLOOKUP(D210,Product_Master!A:D,4,FALSE)</f>
        <v>150</v>
      </c>
      <c r="L210" t="str">
        <f>VLOOKUP(C210,Customer_Master!A:C,2,FALSE)</f>
        <v>TCS</v>
      </c>
      <c r="M210" t="str">
        <f>VLOOKUP(C210,Customer_Master!A:C,3,FALSE)</f>
        <v>Corporate</v>
      </c>
      <c r="N210">
        <f>Table1[[#This Row],[Quantity]]*Table1[[#This Row],[Unit_Price]]</f>
        <v>1166</v>
      </c>
      <c r="O210">
        <f>(Table1[[#This Row],[Unit_Price]]-Table1[[#This Row],[Cost_Price]])*Table1[[#This Row],[Quantity]]</f>
        <v>1016</v>
      </c>
      <c r="P210">
        <f t="shared" si="3"/>
        <v>1166</v>
      </c>
      <c r="Q210" t="str">
        <f>TEXT(Table1[[#This Row],[Order_Date]],"mmm-yyyy")</f>
        <v>Jul-2024</v>
      </c>
    </row>
    <row r="211" spans="1:17" x14ac:dyDescent="0.35">
      <c r="A211" t="s">
        <v>404</v>
      </c>
      <c r="B211" t="s">
        <v>405</v>
      </c>
      <c r="C211" t="s">
        <v>21</v>
      </c>
      <c r="D211" t="s">
        <v>26</v>
      </c>
      <c r="E211" t="s">
        <v>12</v>
      </c>
      <c r="F211" t="s">
        <v>34</v>
      </c>
      <c r="G211">
        <v>3</v>
      </c>
      <c r="H211">
        <v>1892</v>
      </c>
      <c r="I211" t="str">
        <f>VLOOKUP(D211,Product_Master!A:D,2,FALSE)</f>
        <v>Laptop</v>
      </c>
      <c r="J211" t="str">
        <f>VLOOKUP(D211,Product_Master!A:D,3,FALSE)</f>
        <v>Electronics</v>
      </c>
      <c r="K211">
        <f>VLOOKUP(D211,Product_Master!A:D,4,FALSE)</f>
        <v>900</v>
      </c>
      <c r="L211" t="str">
        <f>VLOOKUP(C211,Customer_Master!A:C,2,FALSE)</f>
        <v>Reliance</v>
      </c>
      <c r="M211" t="str">
        <f>VLOOKUP(C211,Customer_Master!A:C,3,FALSE)</f>
        <v>Corporate</v>
      </c>
      <c r="N211">
        <f>Table1[[#This Row],[Quantity]]*Table1[[#This Row],[Unit_Price]]</f>
        <v>5676</v>
      </c>
      <c r="O211">
        <f>(Table1[[#This Row],[Unit_Price]]-Table1[[#This Row],[Cost_Price]])*Table1[[#This Row],[Quantity]]</f>
        <v>2976</v>
      </c>
      <c r="P211">
        <f t="shared" si="3"/>
        <v>5676</v>
      </c>
      <c r="Q211" t="str">
        <f>TEXT(Table1[[#This Row],[Order_Date]],"mmm-yyyy")</f>
        <v>Jul-2024</v>
      </c>
    </row>
    <row r="212" spans="1:17" x14ac:dyDescent="0.35">
      <c r="A212" t="s">
        <v>406</v>
      </c>
      <c r="B212" t="s">
        <v>407</v>
      </c>
      <c r="C212" t="s">
        <v>21</v>
      </c>
      <c r="D212" t="s">
        <v>22</v>
      </c>
      <c r="E212" t="s">
        <v>33</v>
      </c>
      <c r="F212" t="s">
        <v>23</v>
      </c>
      <c r="G212">
        <v>5</v>
      </c>
      <c r="H212">
        <v>855</v>
      </c>
      <c r="I212" t="str">
        <f>VLOOKUP(D212,Product_Master!A:D,2,FALSE)</f>
        <v>Desk</v>
      </c>
      <c r="J212" t="str">
        <f>VLOOKUP(D212,Product_Master!A:D,3,FALSE)</f>
        <v>Furniture</v>
      </c>
      <c r="K212">
        <f>VLOOKUP(D212,Product_Master!A:D,4,FALSE)</f>
        <v>300</v>
      </c>
      <c r="L212" t="str">
        <f>VLOOKUP(C212,Customer_Master!A:C,2,FALSE)</f>
        <v>Reliance</v>
      </c>
      <c r="M212" t="str">
        <f>VLOOKUP(C212,Customer_Master!A:C,3,FALSE)</f>
        <v>Corporate</v>
      </c>
      <c r="N212">
        <f>Table1[[#This Row],[Quantity]]*Table1[[#This Row],[Unit_Price]]</f>
        <v>4275</v>
      </c>
      <c r="O212">
        <f>(Table1[[#This Row],[Unit_Price]]-Table1[[#This Row],[Cost_Price]])*Table1[[#This Row],[Quantity]]</f>
        <v>2775</v>
      </c>
      <c r="P212">
        <f t="shared" si="3"/>
        <v>4275</v>
      </c>
      <c r="Q212" t="str">
        <f>TEXT(Table1[[#This Row],[Order_Date]],"mmm-yyyy")</f>
        <v>Mar-2024</v>
      </c>
    </row>
    <row r="213" spans="1:17" x14ac:dyDescent="0.35">
      <c r="A213" t="s">
        <v>408</v>
      </c>
      <c r="B213" t="s">
        <v>409</v>
      </c>
      <c r="C213" t="s">
        <v>10</v>
      </c>
      <c r="D213" t="s">
        <v>26</v>
      </c>
      <c r="E213" t="s">
        <v>33</v>
      </c>
      <c r="F213" t="s">
        <v>13</v>
      </c>
      <c r="G213">
        <v>5</v>
      </c>
      <c r="H213">
        <v>825</v>
      </c>
      <c r="I213" t="str">
        <f>VLOOKUP(D213,Product_Master!A:D,2,FALSE)</f>
        <v>Laptop</v>
      </c>
      <c r="J213" t="str">
        <f>VLOOKUP(D213,Product_Master!A:D,3,FALSE)</f>
        <v>Electronics</v>
      </c>
      <c r="K213">
        <f>VLOOKUP(D213,Product_Master!A:D,4,FALSE)</f>
        <v>900</v>
      </c>
      <c r="L213" t="str">
        <f>VLOOKUP(C213,Customer_Master!A:C,2,FALSE)</f>
        <v>Suresh</v>
      </c>
      <c r="M213" t="str">
        <f>VLOOKUP(C213,Customer_Master!A:C,3,FALSE)</f>
        <v>Consumer</v>
      </c>
      <c r="N213">
        <f>Table1[[#This Row],[Quantity]]*Table1[[#This Row],[Unit_Price]]</f>
        <v>4125</v>
      </c>
      <c r="O213">
        <f>(Table1[[#This Row],[Unit_Price]]-Table1[[#This Row],[Cost_Price]])*Table1[[#This Row],[Quantity]]</f>
        <v>-375</v>
      </c>
      <c r="P213">
        <f t="shared" si="3"/>
        <v>4125</v>
      </c>
      <c r="Q213" t="str">
        <f>TEXT(Table1[[#This Row],[Order_Date]],"mmm-yyyy")</f>
        <v>Jan-2024</v>
      </c>
    </row>
    <row r="214" spans="1:17" x14ac:dyDescent="0.35">
      <c r="A214" t="s">
        <v>410</v>
      </c>
      <c r="B214" t="s">
        <v>411</v>
      </c>
      <c r="C214" t="s">
        <v>10</v>
      </c>
      <c r="D214" t="s">
        <v>16</v>
      </c>
      <c r="E214" t="s">
        <v>27</v>
      </c>
      <c r="F214" t="s">
        <v>23</v>
      </c>
      <c r="G214">
        <v>1</v>
      </c>
      <c r="H214">
        <v>1045</v>
      </c>
      <c r="I214" t="str">
        <f>VLOOKUP(D214,Product_Master!A:D,2,FALSE)</f>
        <v>Printer</v>
      </c>
      <c r="J214" t="str">
        <f>VLOOKUP(D214,Product_Master!A:D,3,FALSE)</f>
        <v>Electronics</v>
      </c>
      <c r="K214">
        <f>VLOOKUP(D214,Product_Master!A:D,4,FALSE)</f>
        <v>1100</v>
      </c>
      <c r="L214" t="str">
        <f>VLOOKUP(C214,Customer_Master!A:C,2,FALSE)</f>
        <v>Suresh</v>
      </c>
      <c r="M214" t="str">
        <f>VLOOKUP(C214,Customer_Master!A:C,3,FALSE)</f>
        <v>Consumer</v>
      </c>
      <c r="N214">
        <f>Table1[[#This Row],[Quantity]]*Table1[[#This Row],[Unit_Price]]</f>
        <v>1045</v>
      </c>
      <c r="O214">
        <f>(Table1[[#This Row],[Unit_Price]]-Table1[[#This Row],[Cost_Price]])*Table1[[#This Row],[Quantity]]</f>
        <v>-55</v>
      </c>
      <c r="P214">
        <f t="shared" si="3"/>
        <v>1045</v>
      </c>
      <c r="Q214" t="str">
        <f>TEXT(Table1[[#This Row],[Order_Date]],"mmm-yyyy")</f>
        <v>Apr-2024</v>
      </c>
    </row>
    <row r="215" spans="1:17" x14ac:dyDescent="0.35">
      <c r="A215" t="s">
        <v>412</v>
      </c>
      <c r="B215" t="s">
        <v>413</v>
      </c>
      <c r="C215" t="s">
        <v>30</v>
      </c>
      <c r="D215" t="s">
        <v>26</v>
      </c>
      <c r="E215" t="s">
        <v>33</v>
      </c>
      <c r="F215" t="s">
        <v>18</v>
      </c>
      <c r="G215">
        <v>4</v>
      </c>
      <c r="H215">
        <v>1447</v>
      </c>
      <c r="I215" t="str">
        <f>VLOOKUP(D215,Product_Master!A:D,2,FALSE)</f>
        <v>Laptop</v>
      </c>
      <c r="J215" t="str">
        <f>VLOOKUP(D215,Product_Master!A:D,3,FALSE)</f>
        <v>Electronics</v>
      </c>
      <c r="K215">
        <f>VLOOKUP(D215,Product_Master!A:D,4,FALSE)</f>
        <v>900</v>
      </c>
      <c r="L215" t="str">
        <f>VLOOKUP(C215,Customer_Master!A:C,2,FALSE)</f>
        <v>Infosys</v>
      </c>
      <c r="M215" t="str">
        <f>VLOOKUP(C215,Customer_Master!A:C,3,FALSE)</f>
        <v>Corporate</v>
      </c>
      <c r="N215">
        <f>Table1[[#This Row],[Quantity]]*Table1[[#This Row],[Unit_Price]]</f>
        <v>5788</v>
      </c>
      <c r="O215">
        <f>(Table1[[#This Row],[Unit_Price]]-Table1[[#This Row],[Cost_Price]])*Table1[[#This Row],[Quantity]]</f>
        <v>2188</v>
      </c>
      <c r="P215">
        <f t="shared" si="3"/>
        <v>5788</v>
      </c>
      <c r="Q215" t="str">
        <f>TEXT(Table1[[#This Row],[Order_Date]],"mmm-yyyy")</f>
        <v>Feb-2024</v>
      </c>
    </row>
    <row r="216" spans="1:17" x14ac:dyDescent="0.35">
      <c r="A216" t="s">
        <v>414</v>
      </c>
      <c r="B216" t="s">
        <v>415</v>
      </c>
      <c r="C216" t="s">
        <v>21</v>
      </c>
      <c r="D216" t="s">
        <v>16</v>
      </c>
      <c r="E216" t="s">
        <v>12</v>
      </c>
      <c r="F216" t="s">
        <v>13</v>
      </c>
      <c r="G216">
        <v>6</v>
      </c>
      <c r="H216">
        <v>1448</v>
      </c>
      <c r="I216" t="str">
        <f>VLOOKUP(D216,Product_Master!A:D,2,FALSE)</f>
        <v>Printer</v>
      </c>
      <c r="J216" t="str">
        <f>VLOOKUP(D216,Product_Master!A:D,3,FALSE)</f>
        <v>Electronics</v>
      </c>
      <c r="K216">
        <f>VLOOKUP(D216,Product_Master!A:D,4,FALSE)</f>
        <v>1100</v>
      </c>
      <c r="L216" t="str">
        <f>VLOOKUP(C216,Customer_Master!A:C,2,FALSE)</f>
        <v>Reliance</v>
      </c>
      <c r="M216" t="str">
        <f>VLOOKUP(C216,Customer_Master!A:C,3,FALSE)</f>
        <v>Corporate</v>
      </c>
      <c r="N216">
        <f>Table1[[#This Row],[Quantity]]*Table1[[#This Row],[Unit_Price]]</f>
        <v>8688</v>
      </c>
      <c r="O216">
        <f>(Table1[[#This Row],[Unit_Price]]-Table1[[#This Row],[Cost_Price]])*Table1[[#This Row],[Quantity]]</f>
        <v>2088</v>
      </c>
      <c r="P216">
        <f t="shared" si="3"/>
        <v>8688</v>
      </c>
      <c r="Q216" t="str">
        <f>TEXT(Table1[[#This Row],[Order_Date]],"mmm-yyyy")</f>
        <v>Oct-2024</v>
      </c>
    </row>
    <row r="217" spans="1:17" x14ac:dyDescent="0.35">
      <c r="A217" t="s">
        <v>416</v>
      </c>
      <c r="B217" t="s">
        <v>417</v>
      </c>
      <c r="C217" t="s">
        <v>30</v>
      </c>
      <c r="D217" t="s">
        <v>26</v>
      </c>
      <c r="E217" t="s">
        <v>33</v>
      </c>
      <c r="F217" t="s">
        <v>13</v>
      </c>
      <c r="G217">
        <v>1</v>
      </c>
      <c r="H217">
        <v>860</v>
      </c>
      <c r="I217" t="str">
        <f>VLOOKUP(D217,Product_Master!A:D,2,FALSE)</f>
        <v>Laptop</v>
      </c>
      <c r="J217" t="str">
        <f>VLOOKUP(D217,Product_Master!A:D,3,FALSE)</f>
        <v>Electronics</v>
      </c>
      <c r="K217">
        <f>VLOOKUP(D217,Product_Master!A:D,4,FALSE)</f>
        <v>900</v>
      </c>
      <c r="L217" t="str">
        <f>VLOOKUP(C217,Customer_Master!A:C,2,FALSE)</f>
        <v>Infosys</v>
      </c>
      <c r="M217" t="str">
        <f>VLOOKUP(C217,Customer_Master!A:C,3,FALSE)</f>
        <v>Corporate</v>
      </c>
      <c r="N217">
        <f>Table1[[#This Row],[Quantity]]*Table1[[#This Row],[Unit_Price]]</f>
        <v>860</v>
      </c>
      <c r="O217">
        <f>(Table1[[#This Row],[Unit_Price]]-Table1[[#This Row],[Cost_Price]])*Table1[[#This Row],[Quantity]]</f>
        <v>-40</v>
      </c>
      <c r="P217">
        <f t="shared" si="3"/>
        <v>860</v>
      </c>
      <c r="Q217" t="str">
        <f>TEXT(Table1[[#This Row],[Order_Date]],"mmm-yyyy")</f>
        <v>Aug-2024</v>
      </c>
    </row>
    <row r="218" spans="1:17" x14ac:dyDescent="0.35">
      <c r="A218" t="s">
        <v>418</v>
      </c>
      <c r="B218" t="s">
        <v>419</v>
      </c>
      <c r="C218" t="s">
        <v>30</v>
      </c>
      <c r="D218" t="s">
        <v>26</v>
      </c>
      <c r="E218" t="s">
        <v>33</v>
      </c>
      <c r="F218" t="s">
        <v>23</v>
      </c>
      <c r="G218">
        <v>10</v>
      </c>
      <c r="H218">
        <v>837</v>
      </c>
      <c r="I218" t="str">
        <f>VLOOKUP(D218,Product_Master!A:D,2,FALSE)</f>
        <v>Laptop</v>
      </c>
      <c r="J218" t="str">
        <f>VLOOKUP(D218,Product_Master!A:D,3,FALSE)</f>
        <v>Electronics</v>
      </c>
      <c r="K218">
        <f>VLOOKUP(D218,Product_Master!A:D,4,FALSE)</f>
        <v>900</v>
      </c>
      <c r="L218" t="str">
        <f>VLOOKUP(C218,Customer_Master!A:C,2,FALSE)</f>
        <v>Infosys</v>
      </c>
      <c r="M218" t="str">
        <f>VLOOKUP(C218,Customer_Master!A:C,3,FALSE)</f>
        <v>Corporate</v>
      </c>
      <c r="N218">
        <f>Table1[[#This Row],[Quantity]]*Table1[[#This Row],[Unit_Price]]</f>
        <v>8370</v>
      </c>
      <c r="O218">
        <f>(Table1[[#This Row],[Unit_Price]]-Table1[[#This Row],[Cost_Price]])*Table1[[#This Row],[Quantity]]</f>
        <v>-630</v>
      </c>
      <c r="P218">
        <f t="shared" si="3"/>
        <v>8370</v>
      </c>
      <c r="Q218" t="str">
        <f>TEXT(Table1[[#This Row],[Order_Date]],"mmm-yyyy")</f>
        <v>May-2024</v>
      </c>
    </row>
    <row r="219" spans="1:17" x14ac:dyDescent="0.35">
      <c r="A219" t="s">
        <v>420</v>
      </c>
      <c r="B219" t="s">
        <v>421</v>
      </c>
      <c r="C219" t="s">
        <v>42</v>
      </c>
      <c r="D219" t="s">
        <v>22</v>
      </c>
      <c r="E219" t="s">
        <v>27</v>
      </c>
      <c r="F219" t="s">
        <v>34</v>
      </c>
      <c r="G219">
        <v>3</v>
      </c>
      <c r="H219">
        <v>1227</v>
      </c>
      <c r="I219" t="str">
        <f>VLOOKUP(D219,Product_Master!A:D,2,FALSE)</f>
        <v>Desk</v>
      </c>
      <c r="J219" t="str">
        <f>VLOOKUP(D219,Product_Master!A:D,3,FALSE)</f>
        <v>Furniture</v>
      </c>
      <c r="K219">
        <f>VLOOKUP(D219,Product_Master!A:D,4,FALSE)</f>
        <v>300</v>
      </c>
      <c r="L219" t="str">
        <f>VLOOKUP(C219,Customer_Master!A:C,2,FALSE)</f>
        <v>Ramesh</v>
      </c>
      <c r="M219" t="str">
        <f>VLOOKUP(C219,Customer_Master!A:C,3,FALSE)</f>
        <v>Consumer</v>
      </c>
      <c r="N219">
        <f>Table1[[#This Row],[Quantity]]*Table1[[#This Row],[Unit_Price]]</f>
        <v>3681</v>
      </c>
      <c r="O219">
        <f>(Table1[[#This Row],[Unit_Price]]-Table1[[#This Row],[Cost_Price]])*Table1[[#This Row],[Quantity]]</f>
        <v>2781</v>
      </c>
      <c r="P219">
        <f t="shared" si="3"/>
        <v>3681</v>
      </c>
      <c r="Q219" t="str">
        <f>TEXT(Table1[[#This Row],[Order_Date]],"mmm-yyyy")</f>
        <v>Jul-2024</v>
      </c>
    </row>
    <row r="220" spans="1:17" x14ac:dyDescent="0.35">
      <c r="A220" t="s">
        <v>422</v>
      </c>
      <c r="B220" t="s">
        <v>423</v>
      </c>
      <c r="C220" t="s">
        <v>45</v>
      </c>
      <c r="D220" t="s">
        <v>11</v>
      </c>
      <c r="E220" t="s">
        <v>27</v>
      </c>
      <c r="F220" t="s">
        <v>34</v>
      </c>
      <c r="G220">
        <v>5</v>
      </c>
      <c r="H220">
        <v>1266</v>
      </c>
      <c r="I220" t="str">
        <f>VLOOKUP(D220,Product_Master!A:D,2,FALSE)</f>
        <v>Chair</v>
      </c>
      <c r="J220" t="str">
        <f>VLOOKUP(D220,Product_Master!A:D,3,FALSE)</f>
        <v>Furniture</v>
      </c>
      <c r="K220">
        <f>VLOOKUP(D220,Product_Master!A:D,4,FALSE)</f>
        <v>150</v>
      </c>
      <c r="L220" t="str">
        <f>VLOOKUP(C220,Customer_Master!A:C,2,FALSE)</f>
        <v>TCS</v>
      </c>
      <c r="M220" t="str">
        <f>VLOOKUP(C220,Customer_Master!A:C,3,FALSE)</f>
        <v>Corporate</v>
      </c>
      <c r="N220">
        <f>Table1[[#This Row],[Quantity]]*Table1[[#This Row],[Unit_Price]]</f>
        <v>6330</v>
      </c>
      <c r="O220">
        <f>(Table1[[#This Row],[Unit_Price]]-Table1[[#This Row],[Cost_Price]])*Table1[[#This Row],[Quantity]]</f>
        <v>5580</v>
      </c>
      <c r="P220">
        <f t="shared" si="3"/>
        <v>6330</v>
      </c>
      <c r="Q220" t="str">
        <f>TEXT(Table1[[#This Row],[Order_Date]],"mmm-yyyy")</f>
        <v>Nov-2024</v>
      </c>
    </row>
    <row r="221" spans="1:17" x14ac:dyDescent="0.35">
      <c r="A221" t="s">
        <v>424</v>
      </c>
      <c r="B221" t="s">
        <v>425</v>
      </c>
      <c r="C221" t="s">
        <v>21</v>
      </c>
      <c r="D221" t="s">
        <v>11</v>
      </c>
      <c r="E221" t="s">
        <v>12</v>
      </c>
      <c r="F221" t="s">
        <v>23</v>
      </c>
      <c r="G221">
        <v>6</v>
      </c>
      <c r="H221">
        <v>814</v>
      </c>
      <c r="I221" t="str">
        <f>VLOOKUP(D221,Product_Master!A:D,2,FALSE)</f>
        <v>Chair</v>
      </c>
      <c r="J221" t="str">
        <f>VLOOKUP(D221,Product_Master!A:D,3,FALSE)</f>
        <v>Furniture</v>
      </c>
      <c r="K221">
        <f>VLOOKUP(D221,Product_Master!A:D,4,FALSE)</f>
        <v>150</v>
      </c>
      <c r="L221" t="str">
        <f>VLOOKUP(C221,Customer_Master!A:C,2,FALSE)</f>
        <v>Reliance</v>
      </c>
      <c r="M221" t="str">
        <f>VLOOKUP(C221,Customer_Master!A:C,3,FALSE)</f>
        <v>Corporate</v>
      </c>
      <c r="N221">
        <f>Table1[[#This Row],[Quantity]]*Table1[[#This Row],[Unit_Price]]</f>
        <v>4884</v>
      </c>
      <c r="O221">
        <f>(Table1[[#This Row],[Unit_Price]]-Table1[[#This Row],[Cost_Price]])*Table1[[#This Row],[Quantity]]</f>
        <v>3984</v>
      </c>
      <c r="P221">
        <f t="shared" si="3"/>
        <v>4884</v>
      </c>
      <c r="Q221" t="str">
        <f>TEXT(Table1[[#This Row],[Order_Date]],"mmm-yyyy")</f>
        <v>Sep-2024</v>
      </c>
    </row>
    <row r="222" spans="1:17" x14ac:dyDescent="0.35">
      <c r="A222" t="s">
        <v>426</v>
      </c>
      <c r="B222" t="s">
        <v>427</v>
      </c>
      <c r="C222" t="s">
        <v>30</v>
      </c>
      <c r="D222" t="s">
        <v>22</v>
      </c>
      <c r="E222" t="s">
        <v>27</v>
      </c>
      <c r="F222" t="s">
        <v>18</v>
      </c>
      <c r="G222">
        <v>2</v>
      </c>
      <c r="H222">
        <v>1988</v>
      </c>
      <c r="I222" t="str">
        <f>VLOOKUP(D222,Product_Master!A:D,2,FALSE)</f>
        <v>Desk</v>
      </c>
      <c r="J222" t="str">
        <f>VLOOKUP(D222,Product_Master!A:D,3,FALSE)</f>
        <v>Furniture</v>
      </c>
      <c r="K222">
        <f>VLOOKUP(D222,Product_Master!A:D,4,FALSE)</f>
        <v>300</v>
      </c>
      <c r="L222" t="str">
        <f>VLOOKUP(C222,Customer_Master!A:C,2,FALSE)</f>
        <v>Infosys</v>
      </c>
      <c r="M222" t="str">
        <f>VLOOKUP(C222,Customer_Master!A:C,3,FALSE)</f>
        <v>Corporate</v>
      </c>
      <c r="N222">
        <f>Table1[[#This Row],[Quantity]]*Table1[[#This Row],[Unit_Price]]</f>
        <v>3976</v>
      </c>
      <c r="O222">
        <f>(Table1[[#This Row],[Unit_Price]]-Table1[[#This Row],[Cost_Price]])*Table1[[#This Row],[Quantity]]</f>
        <v>3376</v>
      </c>
      <c r="P222">
        <f t="shared" si="3"/>
        <v>3976</v>
      </c>
      <c r="Q222" t="str">
        <f>TEXT(Table1[[#This Row],[Order_Date]],"mmm-yyyy")</f>
        <v>Mar-2024</v>
      </c>
    </row>
    <row r="223" spans="1:17" x14ac:dyDescent="0.35">
      <c r="A223" t="s">
        <v>428</v>
      </c>
      <c r="B223" t="s">
        <v>429</v>
      </c>
      <c r="C223" t="s">
        <v>45</v>
      </c>
      <c r="D223" t="s">
        <v>26</v>
      </c>
      <c r="E223" t="s">
        <v>17</v>
      </c>
      <c r="F223" t="s">
        <v>23</v>
      </c>
      <c r="G223">
        <v>9</v>
      </c>
      <c r="H223">
        <v>1676</v>
      </c>
      <c r="I223" t="str">
        <f>VLOOKUP(D223,Product_Master!A:D,2,FALSE)</f>
        <v>Laptop</v>
      </c>
      <c r="J223" t="str">
        <f>VLOOKUP(D223,Product_Master!A:D,3,FALSE)</f>
        <v>Electronics</v>
      </c>
      <c r="K223">
        <f>VLOOKUP(D223,Product_Master!A:D,4,FALSE)</f>
        <v>900</v>
      </c>
      <c r="L223" t="str">
        <f>VLOOKUP(C223,Customer_Master!A:C,2,FALSE)</f>
        <v>TCS</v>
      </c>
      <c r="M223" t="str">
        <f>VLOOKUP(C223,Customer_Master!A:C,3,FALSE)</f>
        <v>Corporate</v>
      </c>
      <c r="N223">
        <f>Table1[[#This Row],[Quantity]]*Table1[[#This Row],[Unit_Price]]</f>
        <v>15084</v>
      </c>
      <c r="O223">
        <f>(Table1[[#This Row],[Unit_Price]]-Table1[[#This Row],[Cost_Price]])*Table1[[#This Row],[Quantity]]</f>
        <v>6984</v>
      </c>
      <c r="P223">
        <f t="shared" si="3"/>
        <v>15084</v>
      </c>
      <c r="Q223" t="str">
        <f>TEXT(Table1[[#This Row],[Order_Date]],"mmm-yyyy")</f>
        <v>May-2024</v>
      </c>
    </row>
    <row r="224" spans="1:17" x14ac:dyDescent="0.35">
      <c r="A224" t="s">
        <v>430</v>
      </c>
      <c r="B224" t="s">
        <v>308</v>
      </c>
      <c r="C224" t="s">
        <v>10</v>
      </c>
      <c r="D224" t="s">
        <v>11</v>
      </c>
      <c r="E224" t="s">
        <v>12</v>
      </c>
      <c r="F224" t="s">
        <v>23</v>
      </c>
      <c r="G224">
        <v>4</v>
      </c>
      <c r="H224">
        <v>1565</v>
      </c>
      <c r="I224" t="str">
        <f>VLOOKUP(D224,Product_Master!A:D,2,FALSE)</f>
        <v>Chair</v>
      </c>
      <c r="J224" t="str">
        <f>VLOOKUP(D224,Product_Master!A:D,3,FALSE)</f>
        <v>Furniture</v>
      </c>
      <c r="K224">
        <f>VLOOKUP(D224,Product_Master!A:D,4,FALSE)</f>
        <v>150</v>
      </c>
      <c r="L224" t="str">
        <f>VLOOKUP(C224,Customer_Master!A:C,2,FALSE)</f>
        <v>Suresh</v>
      </c>
      <c r="M224" t="str">
        <f>VLOOKUP(C224,Customer_Master!A:C,3,FALSE)</f>
        <v>Consumer</v>
      </c>
      <c r="N224">
        <f>Table1[[#This Row],[Quantity]]*Table1[[#This Row],[Unit_Price]]</f>
        <v>6260</v>
      </c>
      <c r="O224">
        <f>(Table1[[#This Row],[Unit_Price]]-Table1[[#This Row],[Cost_Price]])*Table1[[#This Row],[Quantity]]</f>
        <v>5660</v>
      </c>
      <c r="P224">
        <f t="shared" si="3"/>
        <v>6260</v>
      </c>
      <c r="Q224" t="str">
        <f>TEXT(Table1[[#This Row],[Order_Date]],"mmm-yyyy")</f>
        <v>May-2024</v>
      </c>
    </row>
    <row r="225" spans="1:17" x14ac:dyDescent="0.35">
      <c r="A225" t="s">
        <v>431</v>
      </c>
      <c r="B225" t="s">
        <v>432</v>
      </c>
      <c r="C225" t="s">
        <v>45</v>
      </c>
      <c r="D225" t="s">
        <v>37</v>
      </c>
      <c r="E225" t="s">
        <v>33</v>
      </c>
      <c r="F225" t="s">
        <v>18</v>
      </c>
      <c r="G225">
        <v>7</v>
      </c>
      <c r="H225">
        <v>1807</v>
      </c>
      <c r="I225" t="str">
        <f>VLOOKUP(D225,Product_Master!A:D,2,FALSE)</f>
        <v>Mobile</v>
      </c>
      <c r="J225" t="str">
        <f>VLOOKUP(D225,Product_Master!A:D,3,FALSE)</f>
        <v>Electronics</v>
      </c>
      <c r="K225">
        <f>VLOOKUP(D225,Product_Master!A:D,4,FALSE)</f>
        <v>600</v>
      </c>
      <c r="L225" t="str">
        <f>VLOOKUP(C225,Customer_Master!A:C,2,FALSE)</f>
        <v>TCS</v>
      </c>
      <c r="M225" t="str">
        <f>VLOOKUP(C225,Customer_Master!A:C,3,FALSE)</f>
        <v>Corporate</v>
      </c>
      <c r="N225">
        <f>Table1[[#This Row],[Quantity]]*Table1[[#This Row],[Unit_Price]]</f>
        <v>12649</v>
      </c>
      <c r="O225">
        <f>(Table1[[#This Row],[Unit_Price]]-Table1[[#This Row],[Cost_Price]])*Table1[[#This Row],[Quantity]]</f>
        <v>8449</v>
      </c>
      <c r="P225">
        <f t="shared" si="3"/>
        <v>12649</v>
      </c>
      <c r="Q225" t="str">
        <f>TEXT(Table1[[#This Row],[Order_Date]],"mmm-yyyy")</f>
        <v>Jun-2024</v>
      </c>
    </row>
    <row r="226" spans="1:17" x14ac:dyDescent="0.35">
      <c r="A226" t="s">
        <v>433</v>
      </c>
      <c r="B226" t="s">
        <v>275</v>
      </c>
      <c r="C226" t="s">
        <v>10</v>
      </c>
      <c r="D226" t="s">
        <v>16</v>
      </c>
      <c r="E226" t="s">
        <v>17</v>
      </c>
      <c r="F226" t="s">
        <v>18</v>
      </c>
      <c r="G226">
        <v>4</v>
      </c>
      <c r="H226">
        <v>837</v>
      </c>
      <c r="I226" t="str">
        <f>VLOOKUP(D226,Product_Master!A:D,2,FALSE)</f>
        <v>Printer</v>
      </c>
      <c r="J226" t="str">
        <f>VLOOKUP(D226,Product_Master!A:D,3,FALSE)</f>
        <v>Electronics</v>
      </c>
      <c r="K226">
        <f>VLOOKUP(D226,Product_Master!A:D,4,FALSE)</f>
        <v>1100</v>
      </c>
      <c r="L226" t="str">
        <f>VLOOKUP(C226,Customer_Master!A:C,2,FALSE)</f>
        <v>Suresh</v>
      </c>
      <c r="M226" t="str">
        <f>VLOOKUP(C226,Customer_Master!A:C,3,FALSE)</f>
        <v>Consumer</v>
      </c>
      <c r="N226">
        <f>Table1[[#This Row],[Quantity]]*Table1[[#This Row],[Unit_Price]]</f>
        <v>3348</v>
      </c>
      <c r="O226">
        <f>(Table1[[#This Row],[Unit_Price]]-Table1[[#This Row],[Cost_Price]])*Table1[[#This Row],[Quantity]]</f>
        <v>-1052</v>
      </c>
      <c r="P226">
        <f t="shared" si="3"/>
        <v>3348</v>
      </c>
      <c r="Q226" t="str">
        <f>TEXT(Table1[[#This Row],[Order_Date]],"mmm-yyyy")</f>
        <v>Jul-2024</v>
      </c>
    </row>
    <row r="227" spans="1:17" x14ac:dyDescent="0.35">
      <c r="A227" t="s">
        <v>434</v>
      </c>
      <c r="B227" t="s">
        <v>177</v>
      </c>
      <c r="C227" t="s">
        <v>10</v>
      </c>
      <c r="D227" t="s">
        <v>37</v>
      </c>
      <c r="E227" t="s">
        <v>17</v>
      </c>
      <c r="F227" t="s">
        <v>34</v>
      </c>
      <c r="G227">
        <v>9</v>
      </c>
      <c r="H227">
        <v>1675</v>
      </c>
      <c r="I227" t="str">
        <f>VLOOKUP(D227,Product_Master!A:D,2,FALSE)</f>
        <v>Mobile</v>
      </c>
      <c r="J227" t="str">
        <f>VLOOKUP(D227,Product_Master!A:D,3,FALSE)</f>
        <v>Electronics</v>
      </c>
      <c r="K227">
        <f>VLOOKUP(D227,Product_Master!A:D,4,FALSE)</f>
        <v>600</v>
      </c>
      <c r="L227" t="str">
        <f>VLOOKUP(C227,Customer_Master!A:C,2,FALSE)</f>
        <v>Suresh</v>
      </c>
      <c r="M227" t="str">
        <f>VLOOKUP(C227,Customer_Master!A:C,3,FALSE)</f>
        <v>Consumer</v>
      </c>
      <c r="N227">
        <f>Table1[[#This Row],[Quantity]]*Table1[[#This Row],[Unit_Price]]</f>
        <v>15075</v>
      </c>
      <c r="O227">
        <f>(Table1[[#This Row],[Unit_Price]]-Table1[[#This Row],[Cost_Price]])*Table1[[#This Row],[Quantity]]</f>
        <v>9675</v>
      </c>
      <c r="P227">
        <f t="shared" si="3"/>
        <v>15075</v>
      </c>
      <c r="Q227" t="str">
        <f>TEXT(Table1[[#This Row],[Order_Date]],"mmm-yyyy")</f>
        <v>Jan-2024</v>
      </c>
    </row>
    <row r="228" spans="1:17" x14ac:dyDescent="0.35">
      <c r="A228" t="s">
        <v>435</v>
      </c>
      <c r="B228" t="s">
        <v>299</v>
      </c>
      <c r="C228" t="s">
        <v>42</v>
      </c>
      <c r="D228" t="s">
        <v>26</v>
      </c>
      <c r="E228" t="s">
        <v>17</v>
      </c>
      <c r="F228" t="s">
        <v>13</v>
      </c>
      <c r="G228">
        <v>7</v>
      </c>
      <c r="H228">
        <v>1270</v>
      </c>
      <c r="I228" t="str">
        <f>VLOOKUP(D228,Product_Master!A:D,2,FALSE)</f>
        <v>Laptop</v>
      </c>
      <c r="J228" t="str">
        <f>VLOOKUP(D228,Product_Master!A:D,3,FALSE)</f>
        <v>Electronics</v>
      </c>
      <c r="K228">
        <f>VLOOKUP(D228,Product_Master!A:D,4,FALSE)</f>
        <v>900</v>
      </c>
      <c r="L228" t="str">
        <f>VLOOKUP(C228,Customer_Master!A:C,2,FALSE)</f>
        <v>Ramesh</v>
      </c>
      <c r="M228" t="str">
        <f>VLOOKUP(C228,Customer_Master!A:C,3,FALSE)</f>
        <v>Consumer</v>
      </c>
      <c r="N228">
        <f>Table1[[#This Row],[Quantity]]*Table1[[#This Row],[Unit_Price]]</f>
        <v>8890</v>
      </c>
      <c r="O228">
        <f>(Table1[[#This Row],[Unit_Price]]-Table1[[#This Row],[Cost_Price]])*Table1[[#This Row],[Quantity]]</f>
        <v>2590</v>
      </c>
      <c r="P228">
        <f t="shared" si="3"/>
        <v>8890</v>
      </c>
      <c r="Q228" t="str">
        <f>TEXT(Table1[[#This Row],[Order_Date]],"mmm-yyyy")</f>
        <v>Apr-2024</v>
      </c>
    </row>
    <row r="229" spans="1:17" x14ac:dyDescent="0.35">
      <c r="A229" t="s">
        <v>436</v>
      </c>
      <c r="B229" t="s">
        <v>437</v>
      </c>
      <c r="C229" t="s">
        <v>45</v>
      </c>
      <c r="D229" t="s">
        <v>22</v>
      </c>
      <c r="E229" t="s">
        <v>17</v>
      </c>
      <c r="F229" t="s">
        <v>34</v>
      </c>
      <c r="G229">
        <v>4</v>
      </c>
      <c r="H229">
        <v>1234</v>
      </c>
      <c r="I229" t="str">
        <f>VLOOKUP(D229,Product_Master!A:D,2,FALSE)</f>
        <v>Desk</v>
      </c>
      <c r="J229" t="str">
        <f>VLOOKUP(D229,Product_Master!A:D,3,FALSE)</f>
        <v>Furniture</v>
      </c>
      <c r="K229">
        <f>VLOOKUP(D229,Product_Master!A:D,4,FALSE)</f>
        <v>300</v>
      </c>
      <c r="L229" t="str">
        <f>VLOOKUP(C229,Customer_Master!A:C,2,FALSE)</f>
        <v>TCS</v>
      </c>
      <c r="M229" t="str">
        <f>VLOOKUP(C229,Customer_Master!A:C,3,FALSE)</f>
        <v>Corporate</v>
      </c>
      <c r="N229">
        <f>Table1[[#This Row],[Quantity]]*Table1[[#This Row],[Unit_Price]]</f>
        <v>4936</v>
      </c>
      <c r="O229">
        <f>(Table1[[#This Row],[Unit_Price]]-Table1[[#This Row],[Cost_Price]])*Table1[[#This Row],[Quantity]]</f>
        <v>3736</v>
      </c>
      <c r="P229">
        <f t="shared" si="3"/>
        <v>4936</v>
      </c>
      <c r="Q229" t="str">
        <f>TEXT(Table1[[#This Row],[Order_Date]],"mmm-yyyy")</f>
        <v>Jul-2024</v>
      </c>
    </row>
    <row r="230" spans="1:17" x14ac:dyDescent="0.35">
      <c r="A230" t="s">
        <v>438</v>
      </c>
      <c r="B230" t="s">
        <v>413</v>
      </c>
      <c r="C230" t="s">
        <v>30</v>
      </c>
      <c r="D230" t="s">
        <v>22</v>
      </c>
      <c r="E230" t="s">
        <v>12</v>
      </c>
      <c r="F230" t="s">
        <v>23</v>
      </c>
      <c r="G230">
        <v>1</v>
      </c>
      <c r="H230">
        <v>1205</v>
      </c>
      <c r="I230" t="str">
        <f>VLOOKUP(D230,Product_Master!A:D,2,FALSE)</f>
        <v>Desk</v>
      </c>
      <c r="J230" t="str">
        <f>VLOOKUP(D230,Product_Master!A:D,3,FALSE)</f>
        <v>Furniture</v>
      </c>
      <c r="K230">
        <f>VLOOKUP(D230,Product_Master!A:D,4,FALSE)</f>
        <v>300</v>
      </c>
      <c r="L230" t="str">
        <f>VLOOKUP(C230,Customer_Master!A:C,2,FALSE)</f>
        <v>Infosys</v>
      </c>
      <c r="M230" t="str">
        <f>VLOOKUP(C230,Customer_Master!A:C,3,FALSE)</f>
        <v>Corporate</v>
      </c>
      <c r="N230">
        <f>Table1[[#This Row],[Quantity]]*Table1[[#This Row],[Unit_Price]]</f>
        <v>1205</v>
      </c>
      <c r="O230">
        <f>(Table1[[#This Row],[Unit_Price]]-Table1[[#This Row],[Cost_Price]])*Table1[[#This Row],[Quantity]]</f>
        <v>905</v>
      </c>
      <c r="P230">
        <f t="shared" si="3"/>
        <v>1205</v>
      </c>
      <c r="Q230" t="str">
        <f>TEXT(Table1[[#This Row],[Order_Date]],"mmm-yyyy")</f>
        <v>Feb-2024</v>
      </c>
    </row>
    <row r="231" spans="1:17" x14ac:dyDescent="0.35">
      <c r="A231" t="s">
        <v>439</v>
      </c>
      <c r="B231" t="s">
        <v>96</v>
      </c>
      <c r="C231" t="s">
        <v>10</v>
      </c>
      <c r="D231" t="s">
        <v>16</v>
      </c>
      <c r="E231" t="s">
        <v>33</v>
      </c>
      <c r="F231" t="s">
        <v>23</v>
      </c>
      <c r="G231">
        <v>7</v>
      </c>
      <c r="H231">
        <v>1914</v>
      </c>
      <c r="I231" t="str">
        <f>VLOOKUP(D231,Product_Master!A:D,2,FALSE)</f>
        <v>Printer</v>
      </c>
      <c r="J231" t="str">
        <f>VLOOKUP(D231,Product_Master!A:D,3,FALSE)</f>
        <v>Electronics</v>
      </c>
      <c r="K231">
        <f>VLOOKUP(D231,Product_Master!A:D,4,FALSE)</f>
        <v>1100</v>
      </c>
      <c r="L231" t="str">
        <f>VLOOKUP(C231,Customer_Master!A:C,2,FALSE)</f>
        <v>Suresh</v>
      </c>
      <c r="M231" t="str">
        <f>VLOOKUP(C231,Customer_Master!A:C,3,FALSE)</f>
        <v>Consumer</v>
      </c>
      <c r="N231">
        <f>Table1[[#This Row],[Quantity]]*Table1[[#This Row],[Unit_Price]]</f>
        <v>13398</v>
      </c>
      <c r="O231">
        <f>(Table1[[#This Row],[Unit_Price]]-Table1[[#This Row],[Cost_Price]])*Table1[[#This Row],[Quantity]]</f>
        <v>5698</v>
      </c>
      <c r="P231">
        <f t="shared" si="3"/>
        <v>13398</v>
      </c>
      <c r="Q231" t="str">
        <f>TEXT(Table1[[#This Row],[Order_Date]],"mmm-yyyy")</f>
        <v>Jan-2024</v>
      </c>
    </row>
    <row r="232" spans="1:17" x14ac:dyDescent="0.35">
      <c r="A232" t="s">
        <v>440</v>
      </c>
      <c r="B232" t="s">
        <v>36</v>
      </c>
      <c r="C232" t="s">
        <v>21</v>
      </c>
      <c r="D232" t="s">
        <v>26</v>
      </c>
      <c r="E232" t="s">
        <v>33</v>
      </c>
      <c r="F232" t="s">
        <v>23</v>
      </c>
      <c r="G232">
        <v>7</v>
      </c>
      <c r="H232">
        <v>1020</v>
      </c>
      <c r="I232" t="str">
        <f>VLOOKUP(D232,Product_Master!A:D,2,FALSE)</f>
        <v>Laptop</v>
      </c>
      <c r="J232" t="str">
        <f>VLOOKUP(D232,Product_Master!A:D,3,FALSE)</f>
        <v>Electronics</v>
      </c>
      <c r="K232">
        <f>VLOOKUP(D232,Product_Master!A:D,4,FALSE)</f>
        <v>900</v>
      </c>
      <c r="L232" t="str">
        <f>VLOOKUP(C232,Customer_Master!A:C,2,FALSE)</f>
        <v>Reliance</v>
      </c>
      <c r="M232" t="str">
        <f>VLOOKUP(C232,Customer_Master!A:C,3,FALSE)</f>
        <v>Corporate</v>
      </c>
      <c r="N232">
        <f>Table1[[#This Row],[Quantity]]*Table1[[#This Row],[Unit_Price]]</f>
        <v>7140</v>
      </c>
      <c r="O232">
        <f>(Table1[[#This Row],[Unit_Price]]-Table1[[#This Row],[Cost_Price]])*Table1[[#This Row],[Quantity]]</f>
        <v>840</v>
      </c>
      <c r="P232">
        <f t="shared" si="3"/>
        <v>7140</v>
      </c>
      <c r="Q232" t="str">
        <f>TEXT(Table1[[#This Row],[Order_Date]],"mmm-yyyy")</f>
        <v>Nov-2024</v>
      </c>
    </row>
    <row r="233" spans="1:17" x14ac:dyDescent="0.35">
      <c r="A233" t="s">
        <v>441</v>
      </c>
      <c r="B233" t="s">
        <v>323</v>
      </c>
      <c r="C233" t="s">
        <v>21</v>
      </c>
      <c r="D233" t="s">
        <v>26</v>
      </c>
      <c r="E233" t="s">
        <v>27</v>
      </c>
      <c r="F233" t="s">
        <v>34</v>
      </c>
      <c r="G233">
        <v>4</v>
      </c>
      <c r="H233">
        <v>1685</v>
      </c>
      <c r="I233" t="str">
        <f>VLOOKUP(D233,Product_Master!A:D,2,FALSE)</f>
        <v>Laptop</v>
      </c>
      <c r="J233" t="str">
        <f>VLOOKUP(D233,Product_Master!A:D,3,FALSE)</f>
        <v>Electronics</v>
      </c>
      <c r="K233">
        <f>VLOOKUP(D233,Product_Master!A:D,4,FALSE)</f>
        <v>900</v>
      </c>
      <c r="L233" t="str">
        <f>VLOOKUP(C233,Customer_Master!A:C,2,FALSE)</f>
        <v>Reliance</v>
      </c>
      <c r="M233" t="str">
        <f>VLOOKUP(C233,Customer_Master!A:C,3,FALSE)</f>
        <v>Corporate</v>
      </c>
      <c r="N233">
        <f>Table1[[#This Row],[Quantity]]*Table1[[#This Row],[Unit_Price]]</f>
        <v>6740</v>
      </c>
      <c r="O233">
        <f>(Table1[[#This Row],[Unit_Price]]-Table1[[#This Row],[Cost_Price]])*Table1[[#This Row],[Quantity]]</f>
        <v>3140</v>
      </c>
      <c r="P233">
        <f t="shared" si="3"/>
        <v>6740</v>
      </c>
      <c r="Q233" t="str">
        <f>TEXT(Table1[[#This Row],[Order_Date]],"mmm-yyyy")</f>
        <v>Jun-2024</v>
      </c>
    </row>
    <row r="234" spans="1:17" x14ac:dyDescent="0.35">
      <c r="A234" t="s">
        <v>442</v>
      </c>
      <c r="B234" t="s">
        <v>432</v>
      </c>
      <c r="C234" t="s">
        <v>42</v>
      </c>
      <c r="D234" t="s">
        <v>16</v>
      </c>
      <c r="E234" t="s">
        <v>27</v>
      </c>
      <c r="F234" t="s">
        <v>23</v>
      </c>
      <c r="G234">
        <v>4</v>
      </c>
      <c r="H234">
        <v>1354</v>
      </c>
      <c r="I234" t="str">
        <f>VLOOKUP(D234,Product_Master!A:D,2,FALSE)</f>
        <v>Printer</v>
      </c>
      <c r="J234" t="str">
        <f>VLOOKUP(D234,Product_Master!A:D,3,FALSE)</f>
        <v>Electronics</v>
      </c>
      <c r="K234">
        <f>VLOOKUP(D234,Product_Master!A:D,4,FALSE)</f>
        <v>1100</v>
      </c>
      <c r="L234" t="str">
        <f>VLOOKUP(C234,Customer_Master!A:C,2,FALSE)</f>
        <v>Ramesh</v>
      </c>
      <c r="M234" t="str">
        <f>VLOOKUP(C234,Customer_Master!A:C,3,FALSE)</f>
        <v>Consumer</v>
      </c>
      <c r="N234">
        <f>Table1[[#This Row],[Quantity]]*Table1[[#This Row],[Unit_Price]]</f>
        <v>5416</v>
      </c>
      <c r="O234">
        <f>(Table1[[#This Row],[Unit_Price]]-Table1[[#This Row],[Cost_Price]])*Table1[[#This Row],[Quantity]]</f>
        <v>1016</v>
      </c>
      <c r="P234">
        <f t="shared" si="3"/>
        <v>5416</v>
      </c>
      <c r="Q234" t="str">
        <f>TEXT(Table1[[#This Row],[Order_Date]],"mmm-yyyy")</f>
        <v>Jun-2024</v>
      </c>
    </row>
    <row r="235" spans="1:17" x14ac:dyDescent="0.35">
      <c r="A235" t="s">
        <v>443</v>
      </c>
      <c r="B235" t="s">
        <v>361</v>
      </c>
      <c r="C235" t="s">
        <v>21</v>
      </c>
      <c r="D235" t="s">
        <v>16</v>
      </c>
      <c r="E235" t="s">
        <v>27</v>
      </c>
      <c r="F235" t="s">
        <v>13</v>
      </c>
      <c r="G235">
        <v>10</v>
      </c>
      <c r="H235">
        <v>1242</v>
      </c>
      <c r="I235" t="str">
        <f>VLOOKUP(D235,Product_Master!A:D,2,FALSE)</f>
        <v>Printer</v>
      </c>
      <c r="J235" t="str">
        <f>VLOOKUP(D235,Product_Master!A:D,3,FALSE)</f>
        <v>Electronics</v>
      </c>
      <c r="K235">
        <f>VLOOKUP(D235,Product_Master!A:D,4,FALSE)</f>
        <v>1100</v>
      </c>
      <c r="L235" t="str">
        <f>VLOOKUP(C235,Customer_Master!A:C,2,FALSE)</f>
        <v>Reliance</v>
      </c>
      <c r="M235" t="str">
        <f>VLOOKUP(C235,Customer_Master!A:C,3,FALSE)</f>
        <v>Corporate</v>
      </c>
      <c r="N235">
        <f>Table1[[#This Row],[Quantity]]*Table1[[#This Row],[Unit_Price]]</f>
        <v>12420</v>
      </c>
      <c r="O235">
        <f>(Table1[[#This Row],[Unit_Price]]-Table1[[#This Row],[Cost_Price]])*Table1[[#This Row],[Quantity]]</f>
        <v>1420</v>
      </c>
      <c r="P235">
        <f t="shared" si="3"/>
        <v>12420</v>
      </c>
      <c r="Q235" t="str">
        <f>TEXT(Table1[[#This Row],[Order_Date]],"mmm-yyyy")</f>
        <v>Aug-2024</v>
      </c>
    </row>
    <row r="236" spans="1:17" x14ac:dyDescent="0.35">
      <c r="A236" t="s">
        <v>444</v>
      </c>
      <c r="B236" t="s">
        <v>445</v>
      </c>
      <c r="C236" t="s">
        <v>21</v>
      </c>
      <c r="D236" t="s">
        <v>26</v>
      </c>
      <c r="E236" t="s">
        <v>27</v>
      </c>
      <c r="F236" t="s">
        <v>34</v>
      </c>
      <c r="G236">
        <v>1</v>
      </c>
      <c r="H236">
        <v>1947</v>
      </c>
      <c r="I236" t="str">
        <f>VLOOKUP(D236,Product_Master!A:D,2,FALSE)</f>
        <v>Laptop</v>
      </c>
      <c r="J236" t="str">
        <f>VLOOKUP(D236,Product_Master!A:D,3,FALSE)</f>
        <v>Electronics</v>
      </c>
      <c r="K236">
        <f>VLOOKUP(D236,Product_Master!A:D,4,FALSE)</f>
        <v>900</v>
      </c>
      <c r="L236" t="str">
        <f>VLOOKUP(C236,Customer_Master!A:C,2,FALSE)</f>
        <v>Reliance</v>
      </c>
      <c r="M236" t="str">
        <f>VLOOKUP(C236,Customer_Master!A:C,3,FALSE)</f>
        <v>Corporate</v>
      </c>
      <c r="N236">
        <f>Table1[[#This Row],[Quantity]]*Table1[[#This Row],[Unit_Price]]</f>
        <v>1947</v>
      </c>
      <c r="O236">
        <f>(Table1[[#This Row],[Unit_Price]]-Table1[[#This Row],[Cost_Price]])*Table1[[#This Row],[Quantity]]</f>
        <v>1047</v>
      </c>
      <c r="P236">
        <f t="shared" si="3"/>
        <v>1947</v>
      </c>
      <c r="Q236" t="str">
        <f>TEXT(Table1[[#This Row],[Order_Date]],"mmm-yyyy")</f>
        <v>Dec-2024</v>
      </c>
    </row>
    <row r="237" spans="1:17" x14ac:dyDescent="0.35">
      <c r="A237" t="s">
        <v>446</v>
      </c>
      <c r="B237" t="s">
        <v>447</v>
      </c>
      <c r="C237" t="s">
        <v>45</v>
      </c>
      <c r="D237" t="s">
        <v>16</v>
      </c>
      <c r="E237" t="s">
        <v>12</v>
      </c>
      <c r="F237" t="s">
        <v>18</v>
      </c>
      <c r="G237">
        <v>9</v>
      </c>
      <c r="H237">
        <v>1060</v>
      </c>
      <c r="I237" t="str">
        <f>VLOOKUP(D237,Product_Master!A:D,2,FALSE)</f>
        <v>Printer</v>
      </c>
      <c r="J237" t="str">
        <f>VLOOKUP(D237,Product_Master!A:D,3,FALSE)</f>
        <v>Electronics</v>
      </c>
      <c r="K237">
        <f>VLOOKUP(D237,Product_Master!A:D,4,FALSE)</f>
        <v>1100</v>
      </c>
      <c r="L237" t="str">
        <f>VLOOKUP(C237,Customer_Master!A:C,2,FALSE)</f>
        <v>TCS</v>
      </c>
      <c r="M237" t="str">
        <f>VLOOKUP(C237,Customer_Master!A:C,3,FALSE)</f>
        <v>Corporate</v>
      </c>
      <c r="N237">
        <f>Table1[[#This Row],[Quantity]]*Table1[[#This Row],[Unit_Price]]</f>
        <v>9540</v>
      </c>
      <c r="O237">
        <f>(Table1[[#This Row],[Unit_Price]]-Table1[[#This Row],[Cost_Price]])*Table1[[#This Row],[Quantity]]</f>
        <v>-360</v>
      </c>
      <c r="P237">
        <f t="shared" si="3"/>
        <v>9540</v>
      </c>
      <c r="Q237" t="str">
        <f>TEXT(Table1[[#This Row],[Order_Date]],"mmm-yyyy")</f>
        <v>Nov-2024</v>
      </c>
    </row>
    <row r="238" spans="1:17" x14ac:dyDescent="0.35">
      <c r="A238" t="s">
        <v>448</v>
      </c>
      <c r="B238" t="s">
        <v>107</v>
      </c>
      <c r="C238" t="s">
        <v>10</v>
      </c>
      <c r="D238" t="s">
        <v>16</v>
      </c>
      <c r="E238" t="s">
        <v>12</v>
      </c>
      <c r="F238" t="s">
        <v>34</v>
      </c>
      <c r="G238">
        <v>3</v>
      </c>
      <c r="H238">
        <v>1253</v>
      </c>
      <c r="I238" t="str">
        <f>VLOOKUP(D238,Product_Master!A:D,2,FALSE)</f>
        <v>Printer</v>
      </c>
      <c r="J238" t="str">
        <f>VLOOKUP(D238,Product_Master!A:D,3,FALSE)</f>
        <v>Electronics</v>
      </c>
      <c r="K238">
        <f>VLOOKUP(D238,Product_Master!A:D,4,FALSE)</f>
        <v>1100</v>
      </c>
      <c r="L238" t="str">
        <f>VLOOKUP(C238,Customer_Master!A:C,2,FALSE)</f>
        <v>Suresh</v>
      </c>
      <c r="M238" t="str">
        <f>VLOOKUP(C238,Customer_Master!A:C,3,FALSE)</f>
        <v>Consumer</v>
      </c>
      <c r="N238">
        <f>Table1[[#This Row],[Quantity]]*Table1[[#This Row],[Unit_Price]]</f>
        <v>3759</v>
      </c>
      <c r="O238">
        <f>(Table1[[#This Row],[Unit_Price]]-Table1[[#This Row],[Cost_Price]])*Table1[[#This Row],[Quantity]]</f>
        <v>459</v>
      </c>
      <c r="P238">
        <f t="shared" si="3"/>
        <v>3759</v>
      </c>
      <c r="Q238" t="str">
        <f>TEXT(Table1[[#This Row],[Order_Date]],"mmm-yyyy")</f>
        <v>Jul-2024</v>
      </c>
    </row>
    <row r="239" spans="1:17" x14ac:dyDescent="0.35">
      <c r="A239" t="s">
        <v>449</v>
      </c>
      <c r="B239" t="s">
        <v>275</v>
      </c>
      <c r="C239" t="s">
        <v>45</v>
      </c>
      <c r="D239" t="s">
        <v>11</v>
      </c>
      <c r="E239" t="s">
        <v>12</v>
      </c>
      <c r="F239" t="s">
        <v>18</v>
      </c>
      <c r="G239">
        <v>10</v>
      </c>
      <c r="H239">
        <v>1442</v>
      </c>
      <c r="I239" t="str">
        <f>VLOOKUP(D239,Product_Master!A:D,2,FALSE)</f>
        <v>Chair</v>
      </c>
      <c r="J239" t="str">
        <f>VLOOKUP(D239,Product_Master!A:D,3,FALSE)</f>
        <v>Furniture</v>
      </c>
      <c r="K239">
        <f>VLOOKUP(D239,Product_Master!A:D,4,FALSE)</f>
        <v>150</v>
      </c>
      <c r="L239" t="str">
        <f>VLOOKUP(C239,Customer_Master!A:C,2,FALSE)</f>
        <v>TCS</v>
      </c>
      <c r="M239" t="str">
        <f>VLOOKUP(C239,Customer_Master!A:C,3,FALSE)</f>
        <v>Corporate</v>
      </c>
      <c r="N239">
        <f>Table1[[#This Row],[Quantity]]*Table1[[#This Row],[Unit_Price]]</f>
        <v>14420</v>
      </c>
      <c r="O239">
        <f>(Table1[[#This Row],[Unit_Price]]-Table1[[#This Row],[Cost_Price]])*Table1[[#This Row],[Quantity]]</f>
        <v>12920</v>
      </c>
      <c r="P239">
        <f t="shared" si="3"/>
        <v>14420</v>
      </c>
      <c r="Q239" t="str">
        <f>TEXT(Table1[[#This Row],[Order_Date]],"mmm-yyyy")</f>
        <v>Jul-2024</v>
      </c>
    </row>
    <row r="240" spans="1:17" x14ac:dyDescent="0.35">
      <c r="A240" t="s">
        <v>450</v>
      </c>
      <c r="B240" t="s">
        <v>451</v>
      </c>
      <c r="C240" t="s">
        <v>10</v>
      </c>
      <c r="D240" t="s">
        <v>26</v>
      </c>
      <c r="E240" t="s">
        <v>33</v>
      </c>
      <c r="F240" t="s">
        <v>23</v>
      </c>
      <c r="G240">
        <v>3</v>
      </c>
      <c r="H240">
        <v>1544</v>
      </c>
      <c r="I240" t="str">
        <f>VLOOKUP(D240,Product_Master!A:D,2,FALSE)</f>
        <v>Laptop</v>
      </c>
      <c r="J240" t="str">
        <f>VLOOKUP(D240,Product_Master!A:D,3,FALSE)</f>
        <v>Electronics</v>
      </c>
      <c r="K240">
        <f>VLOOKUP(D240,Product_Master!A:D,4,FALSE)</f>
        <v>900</v>
      </c>
      <c r="L240" t="str">
        <f>VLOOKUP(C240,Customer_Master!A:C,2,FALSE)</f>
        <v>Suresh</v>
      </c>
      <c r="M240" t="str">
        <f>VLOOKUP(C240,Customer_Master!A:C,3,FALSE)</f>
        <v>Consumer</v>
      </c>
      <c r="N240">
        <f>Table1[[#This Row],[Quantity]]*Table1[[#This Row],[Unit_Price]]</f>
        <v>4632</v>
      </c>
      <c r="O240">
        <f>(Table1[[#This Row],[Unit_Price]]-Table1[[#This Row],[Cost_Price]])*Table1[[#This Row],[Quantity]]</f>
        <v>1932</v>
      </c>
      <c r="P240">
        <f t="shared" si="3"/>
        <v>4632</v>
      </c>
      <c r="Q240" t="str">
        <f>TEXT(Table1[[#This Row],[Order_Date]],"mmm-yyyy")</f>
        <v>Jun-2024</v>
      </c>
    </row>
    <row r="241" spans="1:17" x14ac:dyDescent="0.35">
      <c r="A241" t="s">
        <v>452</v>
      </c>
      <c r="B241" t="s">
        <v>453</v>
      </c>
      <c r="C241" t="s">
        <v>10</v>
      </c>
      <c r="D241" t="s">
        <v>37</v>
      </c>
      <c r="E241" t="s">
        <v>27</v>
      </c>
      <c r="F241" t="s">
        <v>23</v>
      </c>
      <c r="G241">
        <v>1</v>
      </c>
      <c r="H241">
        <v>1237</v>
      </c>
      <c r="I241" t="str">
        <f>VLOOKUP(D241,Product_Master!A:D,2,FALSE)</f>
        <v>Mobile</v>
      </c>
      <c r="J241" t="str">
        <f>VLOOKUP(D241,Product_Master!A:D,3,FALSE)</f>
        <v>Electronics</v>
      </c>
      <c r="K241">
        <f>VLOOKUP(D241,Product_Master!A:D,4,FALSE)</f>
        <v>600</v>
      </c>
      <c r="L241" t="str">
        <f>VLOOKUP(C241,Customer_Master!A:C,2,FALSE)</f>
        <v>Suresh</v>
      </c>
      <c r="M241" t="str">
        <f>VLOOKUP(C241,Customer_Master!A:C,3,FALSE)</f>
        <v>Consumer</v>
      </c>
      <c r="N241">
        <f>Table1[[#This Row],[Quantity]]*Table1[[#This Row],[Unit_Price]]</f>
        <v>1237</v>
      </c>
      <c r="O241">
        <f>(Table1[[#This Row],[Unit_Price]]-Table1[[#This Row],[Cost_Price]])*Table1[[#This Row],[Quantity]]</f>
        <v>637</v>
      </c>
      <c r="P241">
        <f t="shared" si="3"/>
        <v>1237</v>
      </c>
      <c r="Q241" t="str">
        <f>TEXT(Table1[[#This Row],[Order_Date]],"mmm-yyyy")</f>
        <v>Jun-2024</v>
      </c>
    </row>
    <row r="242" spans="1:17" x14ac:dyDescent="0.35">
      <c r="A242" t="s">
        <v>454</v>
      </c>
      <c r="B242" t="s">
        <v>163</v>
      </c>
      <c r="C242" t="s">
        <v>42</v>
      </c>
      <c r="D242" t="s">
        <v>16</v>
      </c>
      <c r="E242" t="s">
        <v>12</v>
      </c>
      <c r="F242" t="s">
        <v>13</v>
      </c>
      <c r="G242">
        <v>7</v>
      </c>
      <c r="H242">
        <v>1027</v>
      </c>
      <c r="I242" t="str">
        <f>VLOOKUP(D242,Product_Master!A:D,2,FALSE)</f>
        <v>Printer</v>
      </c>
      <c r="J242" t="str">
        <f>VLOOKUP(D242,Product_Master!A:D,3,FALSE)</f>
        <v>Electronics</v>
      </c>
      <c r="K242">
        <f>VLOOKUP(D242,Product_Master!A:D,4,FALSE)</f>
        <v>1100</v>
      </c>
      <c r="L242" t="str">
        <f>VLOOKUP(C242,Customer_Master!A:C,2,FALSE)</f>
        <v>Ramesh</v>
      </c>
      <c r="M242" t="str">
        <f>VLOOKUP(C242,Customer_Master!A:C,3,FALSE)</f>
        <v>Consumer</v>
      </c>
      <c r="N242">
        <f>Table1[[#This Row],[Quantity]]*Table1[[#This Row],[Unit_Price]]</f>
        <v>7189</v>
      </c>
      <c r="O242">
        <f>(Table1[[#This Row],[Unit_Price]]-Table1[[#This Row],[Cost_Price]])*Table1[[#This Row],[Quantity]]</f>
        <v>-511</v>
      </c>
      <c r="P242">
        <f t="shared" si="3"/>
        <v>7189</v>
      </c>
      <c r="Q242" t="str">
        <f>TEXT(Table1[[#This Row],[Order_Date]],"mmm-yyyy")</f>
        <v>Oct-2024</v>
      </c>
    </row>
    <row r="243" spans="1:17" x14ac:dyDescent="0.35">
      <c r="A243" t="s">
        <v>455</v>
      </c>
      <c r="B243" t="s">
        <v>456</v>
      </c>
      <c r="C243" t="s">
        <v>10</v>
      </c>
      <c r="D243" t="s">
        <v>22</v>
      </c>
      <c r="E243" t="s">
        <v>27</v>
      </c>
      <c r="F243" t="s">
        <v>13</v>
      </c>
      <c r="G243">
        <v>1</v>
      </c>
      <c r="H243">
        <v>1731</v>
      </c>
      <c r="I243" t="str">
        <f>VLOOKUP(D243,Product_Master!A:D,2,FALSE)</f>
        <v>Desk</v>
      </c>
      <c r="J243" t="str">
        <f>VLOOKUP(D243,Product_Master!A:D,3,FALSE)</f>
        <v>Furniture</v>
      </c>
      <c r="K243">
        <f>VLOOKUP(D243,Product_Master!A:D,4,FALSE)</f>
        <v>300</v>
      </c>
      <c r="L243" t="str">
        <f>VLOOKUP(C243,Customer_Master!A:C,2,FALSE)</f>
        <v>Suresh</v>
      </c>
      <c r="M243" t="str">
        <f>VLOOKUP(C243,Customer_Master!A:C,3,FALSE)</f>
        <v>Consumer</v>
      </c>
      <c r="N243">
        <f>Table1[[#This Row],[Quantity]]*Table1[[#This Row],[Unit_Price]]</f>
        <v>1731</v>
      </c>
      <c r="O243">
        <f>(Table1[[#This Row],[Unit_Price]]-Table1[[#This Row],[Cost_Price]])*Table1[[#This Row],[Quantity]]</f>
        <v>1431</v>
      </c>
      <c r="P243">
        <f t="shared" si="3"/>
        <v>1731</v>
      </c>
      <c r="Q243" t="str">
        <f>TEXT(Table1[[#This Row],[Order_Date]],"mmm-yyyy")</f>
        <v>Dec-2024</v>
      </c>
    </row>
    <row r="244" spans="1:17" x14ac:dyDescent="0.35">
      <c r="A244" t="s">
        <v>457</v>
      </c>
      <c r="B244" t="s">
        <v>366</v>
      </c>
      <c r="C244" t="s">
        <v>45</v>
      </c>
      <c r="D244" t="s">
        <v>16</v>
      </c>
      <c r="E244" t="s">
        <v>12</v>
      </c>
      <c r="F244" t="s">
        <v>13</v>
      </c>
      <c r="G244">
        <v>4</v>
      </c>
      <c r="H244">
        <v>1426</v>
      </c>
      <c r="I244" t="str">
        <f>VLOOKUP(D244,Product_Master!A:D,2,FALSE)</f>
        <v>Printer</v>
      </c>
      <c r="J244" t="str">
        <f>VLOOKUP(D244,Product_Master!A:D,3,FALSE)</f>
        <v>Electronics</v>
      </c>
      <c r="K244">
        <f>VLOOKUP(D244,Product_Master!A:D,4,FALSE)</f>
        <v>1100</v>
      </c>
      <c r="L244" t="str">
        <f>VLOOKUP(C244,Customer_Master!A:C,2,FALSE)</f>
        <v>TCS</v>
      </c>
      <c r="M244" t="str">
        <f>VLOOKUP(C244,Customer_Master!A:C,3,FALSE)</f>
        <v>Corporate</v>
      </c>
      <c r="N244">
        <f>Table1[[#This Row],[Quantity]]*Table1[[#This Row],[Unit_Price]]</f>
        <v>5704</v>
      </c>
      <c r="O244">
        <f>(Table1[[#This Row],[Unit_Price]]-Table1[[#This Row],[Cost_Price]])*Table1[[#This Row],[Quantity]]</f>
        <v>1304</v>
      </c>
      <c r="P244">
        <f t="shared" si="3"/>
        <v>5704</v>
      </c>
      <c r="Q244" t="str">
        <f>TEXT(Table1[[#This Row],[Order_Date]],"mmm-yyyy")</f>
        <v>Mar-2024</v>
      </c>
    </row>
    <row r="245" spans="1:17" x14ac:dyDescent="0.35">
      <c r="A245" t="s">
        <v>458</v>
      </c>
      <c r="B245" t="s">
        <v>68</v>
      </c>
      <c r="C245" t="s">
        <v>42</v>
      </c>
      <c r="D245" t="s">
        <v>11</v>
      </c>
      <c r="E245" t="s">
        <v>12</v>
      </c>
      <c r="F245" t="s">
        <v>13</v>
      </c>
      <c r="G245">
        <v>4</v>
      </c>
      <c r="H245">
        <v>1383</v>
      </c>
      <c r="I245" t="str">
        <f>VLOOKUP(D245,Product_Master!A:D,2,FALSE)</f>
        <v>Chair</v>
      </c>
      <c r="J245" t="str">
        <f>VLOOKUP(D245,Product_Master!A:D,3,FALSE)</f>
        <v>Furniture</v>
      </c>
      <c r="K245">
        <f>VLOOKUP(D245,Product_Master!A:D,4,FALSE)</f>
        <v>150</v>
      </c>
      <c r="L245" t="str">
        <f>VLOOKUP(C245,Customer_Master!A:C,2,FALSE)</f>
        <v>Ramesh</v>
      </c>
      <c r="M245" t="str">
        <f>VLOOKUP(C245,Customer_Master!A:C,3,FALSE)</f>
        <v>Consumer</v>
      </c>
      <c r="N245">
        <f>Table1[[#This Row],[Quantity]]*Table1[[#This Row],[Unit_Price]]</f>
        <v>5532</v>
      </c>
      <c r="O245">
        <f>(Table1[[#This Row],[Unit_Price]]-Table1[[#This Row],[Cost_Price]])*Table1[[#This Row],[Quantity]]</f>
        <v>4932</v>
      </c>
      <c r="P245">
        <f t="shared" si="3"/>
        <v>5532</v>
      </c>
      <c r="Q245" t="str">
        <f>TEXT(Table1[[#This Row],[Order_Date]],"mmm-yyyy")</f>
        <v>Dec-2024</v>
      </c>
    </row>
    <row r="246" spans="1:17" x14ac:dyDescent="0.35">
      <c r="A246" t="s">
        <v>459</v>
      </c>
      <c r="B246" t="s">
        <v>460</v>
      </c>
      <c r="C246" t="s">
        <v>42</v>
      </c>
      <c r="D246" t="s">
        <v>22</v>
      </c>
      <c r="E246" t="s">
        <v>33</v>
      </c>
      <c r="F246" t="s">
        <v>23</v>
      </c>
      <c r="G246">
        <v>10</v>
      </c>
      <c r="H246">
        <v>1374</v>
      </c>
      <c r="I246" t="str">
        <f>VLOOKUP(D246,Product_Master!A:D,2,FALSE)</f>
        <v>Desk</v>
      </c>
      <c r="J246" t="str">
        <f>VLOOKUP(D246,Product_Master!A:D,3,FALSE)</f>
        <v>Furniture</v>
      </c>
      <c r="K246">
        <f>VLOOKUP(D246,Product_Master!A:D,4,FALSE)</f>
        <v>300</v>
      </c>
      <c r="L246" t="str">
        <f>VLOOKUP(C246,Customer_Master!A:C,2,FALSE)</f>
        <v>Ramesh</v>
      </c>
      <c r="M246" t="str">
        <f>VLOOKUP(C246,Customer_Master!A:C,3,FALSE)</f>
        <v>Consumer</v>
      </c>
      <c r="N246">
        <f>Table1[[#This Row],[Quantity]]*Table1[[#This Row],[Unit_Price]]</f>
        <v>13740</v>
      </c>
      <c r="O246">
        <f>(Table1[[#This Row],[Unit_Price]]-Table1[[#This Row],[Cost_Price]])*Table1[[#This Row],[Quantity]]</f>
        <v>10740</v>
      </c>
      <c r="P246">
        <f t="shared" si="3"/>
        <v>13740</v>
      </c>
      <c r="Q246" t="str">
        <f>TEXT(Table1[[#This Row],[Order_Date]],"mmm-yyyy")</f>
        <v>Nov-2024</v>
      </c>
    </row>
    <row r="247" spans="1:17" x14ac:dyDescent="0.35">
      <c r="A247" t="s">
        <v>461</v>
      </c>
      <c r="B247" t="s">
        <v>44</v>
      </c>
      <c r="C247" t="s">
        <v>45</v>
      </c>
      <c r="D247" t="s">
        <v>11</v>
      </c>
      <c r="E247" t="s">
        <v>27</v>
      </c>
      <c r="F247" t="s">
        <v>13</v>
      </c>
      <c r="G247">
        <v>8</v>
      </c>
      <c r="H247">
        <v>1204</v>
      </c>
      <c r="I247" t="str">
        <f>VLOOKUP(D247,Product_Master!A:D,2,FALSE)</f>
        <v>Chair</v>
      </c>
      <c r="J247" t="str">
        <f>VLOOKUP(D247,Product_Master!A:D,3,FALSE)</f>
        <v>Furniture</v>
      </c>
      <c r="K247">
        <f>VLOOKUP(D247,Product_Master!A:D,4,FALSE)</f>
        <v>150</v>
      </c>
      <c r="L247" t="str">
        <f>VLOOKUP(C247,Customer_Master!A:C,2,FALSE)</f>
        <v>TCS</v>
      </c>
      <c r="M247" t="str">
        <f>VLOOKUP(C247,Customer_Master!A:C,3,FALSE)</f>
        <v>Corporate</v>
      </c>
      <c r="N247">
        <f>Table1[[#This Row],[Quantity]]*Table1[[#This Row],[Unit_Price]]</f>
        <v>9632</v>
      </c>
      <c r="O247">
        <f>(Table1[[#This Row],[Unit_Price]]-Table1[[#This Row],[Cost_Price]])*Table1[[#This Row],[Quantity]]</f>
        <v>8432</v>
      </c>
      <c r="P247">
        <f t="shared" si="3"/>
        <v>9632</v>
      </c>
      <c r="Q247" t="str">
        <f>TEXT(Table1[[#This Row],[Order_Date]],"mmm-yyyy")</f>
        <v>Sep-2024</v>
      </c>
    </row>
    <row r="248" spans="1:17" x14ac:dyDescent="0.35">
      <c r="A248" t="s">
        <v>462</v>
      </c>
      <c r="B248" t="s">
        <v>445</v>
      </c>
      <c r="C248" t="s">
        <v>30</v>
      </c>
      <c r="D248" t="s">
        <v>26</v>
      </c>
      <c r="E248" t="s">
        <v>33</v>
      </c>
      <c r="F248" t="s">
        <v>18</v>
      </c>
      <c r="G248">
        <v>4</v>
      </c>
      <c r="H248">
        <v>1516</v>
      </c>
      <c r="I248" t="str">
        <f>VLOOKUP(D248,Product_Master!A:D,2,FALSE)</f>
        <v>Laptop</v>
      </c>
      <c r="J248" t="str">
        <f>VLOOKUP(D248,Product_Master!A:D,3,FALSE)</f>
        <v>Electronics</v>
      </c>
      <c r="K248">
        <f>VLOOKUP(D248,Product_Master!A:D,4,FALSE)</f>
        <v>900</v>
      </c>
      <c r="L248" t="str">
        <f>VLOOKUP(C248,Customer_Master!A:C,2,FALSE)</f>
        <v>Infosys</v>
      </c>
      <c r="M248" t="str">
        <f>VLOOKUP(C248,Customer_Master!A:C,3,FALSE)</f>
        <v>Corporate</v>
      </c>
      <c r="N248">
        <f>Table1[[#This Row],[Quantity]]*Table1[[#This Row],[Unit_Price]]</f>
        <v>6064</v>
      </c>
      <c r="O248">
        <f>(Table1[[#This Row],[Unit_Price]]-Table1[[#This Row],[Cost_Price]])*Table1[[#This Row],[Quantity]]</f>
        <v>2464</v>
      </c>
      <c r="P248">
        <f t="shared" si="3"/>
        <v>6064</v>
      </c>
      <c r="Q248" t="str">
        <f>TEXT(Table1[[#This Row],[Order_Date]],"mmm-yyyy")</f>
        <v>Dec-2024</v>
      </c>
    </row>
    <row r="249" spans="1:17" x14ac:dyDescent="0.35">
      <c r="A249" t="s">
        <v>463</v>
      </c>
      <c r="B249" t="s">
        <v>464</v>
      </c>
      <c r="C249" t="s">
        <v>42</v>
      </c>
      <c r="D249" t="s">
        <v>37</v>
      </c>
      <c r="E249" t="s">
        <v>33</v>
      </c>
      <c r="F249" t="s">
        <v>23</v>
      </c>
      <c r="G249">
        <v>8</v>
      </c>
      <c r="H249">
        <v>1599</v>
      </c>
      <c r="I249" t="str">
        <f>VLOOKUP(D249,Product_Master!A:D,2,FALSE)</f>
        <v>Mobile</v>
      </c>
      <c r="J249" t="str">
        <f>VLOOKUP(D249,Product_Master!A:D,3,FALSE)</f>
        <v>Electronics</v>
      </c>
      <c r="K249">
        <f>VLOOKUP(D249,Product_Master!A:D,4,FALSE)</f>
        <v>600</v>
      </c>
      <c r="L249" t="str">
        <f>VLOOKUP(C249,Customer_Master!A:C,2,FALSE)</f>
        <v>Ramesh</v>
      </c>
      <c r="M249" t="str">
        <f>VLOOKUP(C249,Customer_Master!A:C,3,FALSE)</f>
        <v>Consumer</v>
      </c>
      <c r="N249">
        <f>Table1[[#This Row],[Quantity]]*Table1[[#This Row],[Unit_Price]]</f>
        <v>12792</v>
      </c>
      <c r="O249">
        <f>(Table1[[#This Row],[Unit_Price]]-Table1[[#This Row],[Cost_Price]])*Table1[[#This Row],[Quantity]]</f>
        <v>7992</v>
      </c>
      <c r="P249">
        <f t="shared" si="3"/>
        <v>12792</v>
      </c>
      <c r="Q249" t="str">
        <f>TEXT(Table1[[#This Row],[Order_Date]],"mmm-yyyy")</f>
        <v>Feb-2024</v>
      </c>
    </row>
    <row r="250" spans="1:17" x14ac:dyDescent="0.35">
      <c r="A250" t="s">
        <v>465</v>
      </c>
      <c r="B250" t="s">
        <v>9</v>
      </c>
      <c r="C250" t="s">
        <v>42</v>
      </c>
      <c r="D250" t="s">
        <v>22</v>
      </c>
      <c r="E250" t="s">
        <v>33</v>
      </c>
      <c r="F250" t="s">
        <v>13</v>
      </c>
      <c r="G250">
        <v>9</v>
      </c>
      <c r="H250">
        <v>1967</v>
      </c>
      <c r="I250" t="str">
        <f>VLOOKUP(D250,Product_Master!A:D,2,FALSE)</f>
        <v>Desk</v>
      </c>
      <c r="J250" t="str">
        <f>VLOOKUP(D250,Product_Master!A:D,3,FALSE)</f>
        <v>Furniture</v>
      </c>
      <c r="K250">
        <f>VLOOKUP(D250,Product_Master!A:D,4,FALSE)</f>
        <v>300</v>
      </c>
      <c r="L250" t="str">
        <f>VLOOKUP(C250,Customer_Master!A:C,2,FALSE)</f>
        <v>Ramesh</v>
      </c>
      <c r="M250" t="str">
        <f>VLOOKUP(C250,Customer_Master!A:C,3,FALSE)</f>
        <v>Consumer</v>
      </c>
      <c r="N250">
        <f>Table1[[#This Row],[Quantity]]*Table1[[#This Row],[Unit_Price]]</f>
        <v>17703</v>
      </c>
      <c r="O250">
        <f>(Table1[[#This Row],[Unit_Price]]-Table1[[#This Row],[Cost_Price]])*Table1[[#This Row],[Quantity]]</f>
        <v>15003</v>
      </c>
      <c r="P250">
        <f t="shared" si="3"/>
        <v>17703</v>
      </c>
      <c r="Q250" t="str">
        <f>TEXT(Table1[[#This Row],[Order_Date]],"mmm-yyyy")</f>
        <v>Jan-2024</v>
      </c>
    </row>
    <row r="251" spans="1:17" x14ac:dyDescent="0.35">
      <c r="A251" t="s">
        <v>466</v>
      </c>
      <c r="B251" t="s">
        <v>221</v>
      </c>
      <c r="C251" t="s">
        <v>45</v>
      </c>
      <c r="D251" t="s">
        <v>26</v>
      </c>
      <c r="E251" t="s">
        <v>12</v>
      </c>
      <c r="F251" t="s">
        <v>23</v>
      </c>
      <c r="G251">
        <v>10</v>
      </c>
      <c r="H251">
        <v>1027</v>
      </c>
      <c r="I251" t="str">
        <f>VLOOKUP(D251,Product_Master!A:D,2,FALSE)</f>
        <v>Laptop</v>
      </c>
      <c r="J251" t="str">
        <f>VLOOKUP(D251,Product_Master!A:D,3,FALSE)</f>
        <v>Electronics</v>
      </c>
      <c r="K251">
        <f>VLOOKUP(D251,Product_Master!A:D,4,FALSE)</f>
        <v>900</v>
      </c>
      <c r="L251" t="str">
        <f>VLOOKUP(C251,Customer_Master!A:C,2,FALSE)</f>
        <v>TCS</v>
      </c>
      <c r="M251" t="str">
        <f>VLOOKUP(C251,Customer_Master!A:C,3,FALSE)</f>
        <v>Corporate</v>
      </c>
      <c r="N251">
        <f>Table1[[#This Row],[Quantity]]*Table1[[#This Row],[Unit_Price]]</f>
        <v>10270</v>
      </c>
      <c r="O251">
        <f>(Table1[[#This Row],[Unit_Price]]-Table1[[#This Row],[Cost_Price]])*Table1[[#This Row],[Quantity]]</f>
        <v>1270</v>
      </c>
      <c r="P251">
        <f t="shared" si="3"/>
        <v>10270</v>
      </c>
      <c r="Q251" t="str">
        <f>TEXT(Table1[[#This Row],[Order_Date]],"mmm-yyyy")</f>
        <v>Sep-2024</v>
      </c>
    </row>
    <row r="252" spans="1:17" x14ac:dyDescent="0.35">
      <c r="A252" t="s">
        <v>467</v>
      </c>
      <c r="B252" t="s">
        <v>468</v>
      </c>
      <c r="C252" t="s">
        <v>10</v>
      </c>
      <c r="D252" t="s">
        <v>26</v>
      </c>
      <c r="E252" t="s">
        <v>12</v>
      </c>
      <c r="F252" t="s">
        <v>18</v>
      </c>
      <c r="G252">
        <v>8</v>
      </c>
      <c r="H252">
        <v>947</v>
      </c>
      <c r="I252" t="str">
        <f>VLOOKUP(D252,Product_Master!A:D,2,FALSE)</f>
        <v>Laptop</v>
      </c>
      <c r="J252" t="str">
        <f>VLOOKUP(D252,Product_Master!A:D,3,FALSE)</f>
        <v>Electronics</v>
      </c>
      <c r="K252">
        <f>VLOOKUP(D252,Product_Master!A:D,4,FALSE)</f>
        <v>900</v>
      </c>
      <c r="L252" t="str">
        <f>VLOOKUP(C252,Customer_Master!A:C,2,FALSE)</f>
        <v>Suresh</v>
      </c>
      <c r="M252" t="str">
        <f>VLOOKUP(C252,Customer_Master!A:C,3,FALSE)</f>
        <v>Consumer</v>
      </c>
      <c r="N252">
        <f>Table1[[#This Row],[Quantity]]*Table1[[#This Row],[Unit_Price]]</f>
        <v>7576</v>
      </c>
      <c r="O252">
        <f>(Table1[[#This Row],[Unit_Price]]-Table1[[#This Row],[Cost_Price]])*Table1[[#This Row],[Quantity]]</f>
        <v>376</v>
      </c>
      <c r="P252">
        <f t="shared" si="3"/>
        <v>7576</v>
      </c>
      <c r="Q252" t="str">
        <f>TEXT(Table1[[#This Row],[Order_Date]],"mmm-yyyy")</f>
        <v>Mar-2024</v>
      </c>
    </row>
    <row r="253" spans="1:17" x14ac:dyDescent="0.35">
      <c r="A253" t="s">
        <v>469</v>
      </c>
      <c r="B253" t="s">
        <v>470</v>
      </c>
      <c r="C253" t="s">
        <v>30</v>
      </c>
      <c r="D253" t="s">
        <v>16</v>
      </c>
      <c r="E253" t="s">
        <v>12</v>
      </c>
      <c r="F253" t="s">
        <v>23</v>
      </c>
      <c r="G253">
        <v>9</v>
      </c>
      <c r="H253">
        <v>1971</v>
      </c>
      <c r="I253" t="str">
        <f>VLOOKUP(D253,Product_Master!A:D,2,FALSE)</f>
        <v>Printer</v>
      </c>
      <c r="J253" t="str">
        <f>VLOOKUP(D253,Product_Master!A:D,3,FALSE)</f>
        <v>Electronics</v>
      </c>
      <c r="K253">
        <f>VLOOKUP(D253,Product_Master!A:D,4,FALSE)</f>
        <v>1100</v>
      </c>
      <c r="L253" t="str">
        <f>VLOOKUP(C253,Customer_Master!A:C,2,FALSE)</f>
        <v>Infosys</v>
      </c>
      <c r="M253" t="str">
        <f>VLOOKUP(C253,Customer_Master!A:C,3,FALSE)</f>
        <v>Corporate</v>
      </c>
      <c r="N253">
        <f>Table1[[#This Row],[Quantity]]*Table1[[#This Row],[Unit_Price]]</f>
        <v>17739</v>
      </c>
      <c r="O253">
        <f>(Table1[[#This Row],[Unit_Price]]-Table1[[#This Row],[Cost_Price]])*Table1[[#This Row],[Quantity]]</f>
        <v>7839</v>
      </c>
      <c r="P253">
        <f t="shared" si="3"/>
        <v>17739</v>
      </c>
      <c r="Q253" t="str">
        <f>TEXT(Table1[[#This Row],[Order_Date]],"mmm-yyyy")</f>
        <v>Nov-2024</v>
      </c>
    </row>
    <row r="254" spans="1:17" x14ac:dyDescent="0.35">
      <c r="A254" t="s">
        <v>471</v>
      </c>
      <c r="B254" t="s">
        <v>472</v>
      </c>
      <c r="C254" t="s">
        <v>30</v>
      </c>
      <c r="D254" t="s">
        <v>26</v>
      </c>
      <c r="E254" t="s">
        <v>27</v>
      </c>
      <c r="F254" t="s">
        <v>34</v>
      </c>
      <c r="G254">
        <v>8</v>
      </c>
      <c r="H254">
        <v>1608</v>
      </c>
      <c r="I254" t="str">
        <f>VLOOKUP(D254,Product_Master!A:D,2,FALSE)</f>
        <v>Laptop</v>
      </c>
      <c r="J254" t="str">
        <f>VLOOKUP(D254,Product_Master!A:D,3,FALSE)</f>
        <v>Electronics</v>
      </c>
      <c r="K254">
        <f>VLOOKUP(D254,Product_Master!A:D,4,FALSE)</f>
        <v>900</v>
      </c>
      <c r="L254" t="str">
        <f>VLOOKUP(C254,Customer_Master!A:C,2,FALSE)</f>
        <v>Infosys</v>
      </c>
      <c r="M254" t="str">
        <f>VLOOKUP(C254,Customer_Master!A:C,3,FALSE)</f>
        <v>Corporate</v>
      </c>
      <c r="N254">
        <f>Table1[[#This Row],[Quantity]]*Table1[[#This Row],[Unit_Price]]</f>
        <v>12864</v>
      </c>
      <c r="O254">
        <f>(Table1[[#This Row],[Unit_Price]]-Table1[[#This Row],[Cost_Price]])*Table1[[#This Row],[Quantity]]</f>
        <v>5664</v>
      </c>
      <c r="P254">
        <f t="shared" si="3"/>
        <v>12864</v>
      </c>
      <c r="Q254" t="str">
        <f>TEXT(Table1[[#This Row],[Order_Date]],"mmm-yyyy")</f>
        <v>May-2024</v>
      </c>
    </row>
    <row r="255" spans="1:17" x14ac:dyDescent="0.35">
      <c r="A255" t="s">
        <v>473</v>
      </c>
      <c r="B255" t="s">
        <v>474</v>
      </c>
      <c r="C255" t="s">
        <v>42</v>
      </c>
      <c r="D255" t="s">
        <v>16</v>
      </c>
      <c r="E255" t="s">
        <v>12</v>
      </c>
      <c r="F255" t="s">
        <v>23</v>
      </c>
      <c r="G255">
        <v>2</v>
      </c>
      <c r="H255">
        <v>1655</v>
      </c>
      <c r="I255" t="str">
        <f>VLOOKUP(D255,Product_Master!A:D,2,FALSE)</f>
        <v>Printer</v>
      </c>
      <c r="J255" t="str">
        <f>VLOOKUP(D255,Product_Master!A:D,3,FALSE)</f>
        <v>Electronics</v>
      </c>
      <c r="K255">
        <f>VLOOKUP(D255,Product_Master!A:D,4,FALSE)</f>
        <v>1100</v>
      </c>
      <c r="L255" t="str">
        <f>VLOOKUP(C255,Customer_Master!A:C,2,FALSE)</f>
        <v>Ramesh</v>
      </c>
      <c r="M255" t="str">
        <f>VLOOKUP(C255,Customer_Master!A:C,3,FALSE)</f>
        <v>Consumer</v>
      </c>
      <c r="N255">
        <f>Table1[[#This Row],[Quantity]]*Table1[[#This Row],[Unit_Price]]</f>
        <v>3310</v>
      </c>
      <c r="O255">
        <f>(Table1[[#This Row],[Unit_Price]]-Table1[[#This Row],[Cost_Price]])*Table1[[#This Row],[Quantity]]</f>
        <v>1110</v>
      </c>
      <c r="P255">
        <f t="shared" si="3"/>
        <v>3310</v>
      </c>
      <c r="Q255" t="str">
        <f>TEXT(Table1[[#This Row],[Order_Date]],"mmm-yyyy")</f>
        <v>May-2024</v>
      </c>
    </row>
    <row r="256" spans="1:17" x14ac:dyDescent="0.35">
      <c r="A256" t="s">
        <v>475</v>
      </c>
      <c r="B256" t="s">
        <v>476</v>
      </c>
      <c r="C256" t="s">
        <v>42</v>
      </c>
      <c r="D256" t="s">
        <v>22</v>
      </c>
      <c r="E256" t="s">
        <v>12</v>
      </c>
      <c r="F256" t="s">
        <v>13</v>
      </c>
      <c r="G256">
        <v>4</v>
      </c>
      <c r="H256">
        <v>1237</v>
      </c>
      <c r="I256" t="str">
        <f>VLOOKUP(D256,Product_Master!A:D,2,FALSE)</f>
        <v>Desk</v>
      </c>
      <c r="J256" t="str">
        <f>VLOOKUP(D256,Product_Master!A:D,3,FALSE)</f>
        <v>Furniture</v>
      </c>
      <c r="K256">
        <f>VLOOKUP(D256,Product_Master!A:D,4,FALSE)</f>
        <v>300</v>
      </c>
      <c r="L256" t="str">
        <f>VLOOKUP(C256,Customer_Master!A:C,2,FALSE)</f>
        <v>Ramesh</v>
      </c>
      <c r="M256" t="str">
        <f>VLOOKUP(C256,Customer_Master!A:C,3,FALSE)</f>
        <v>Consumer</v>
      </c>
      <c r="N256">
        <f>Table1[[#This Row],[Quantity]]*Table1[[#This Row],[Unit_Price]]</f>
        <v>4948</v>
      </c>
      <c r="O256">
        <f>(Table1[[#This Row],[Unit_Price]]-Table1[[#This Row],[Cost_Price]])*Table1[[#This Row],[Quantity]]</f>
        <v>3748</v>
      </c>
      <c r="P256">
        <f t="shared" si="3"/>
        <v>4948</v>
      </c>
      <c r="Q256" t="str">
        <f>TEXT(Table1[[#This Row],[Order_Date]],"mmm-yyyy")</f>
        <v>Apr-2024</v>
      </c>
    </row>
    <row r="257" spans="1:17" x14ac:dyDescent="0.35">
      <c r="A257" t="s">
        <v>477</v>
      </c>
      <c r="B257" t="s">
        <v>478</v>
      </c>
      <c r="C257" t="s">
        <v>21</v>
      </c>
      <c r="D257" t="s">
        <v>22</v>
      </c>
      <c r="E257" t="s">
        <v>17</v>
      </c>
      <c r="F257" t="s">
        <v>13</v>
      </c>
      <c r="G257">
        <v>10</v>
      </c>
      <c r="H257">
        <v>858</v>
      </c>
      <c r="I257" t="str">
        <f>VLOOKUP(D257,Product_Master!A:D,2,FALSE)</f>
        <v>Desk</v>
      </c>
      <c r="J257" t="str">
        <f>VLOOKUP(D257,Product_Master!A:D,3,FALSE)</f>
        <v>Furniture</v>
      </c>
      <c r="K257">
        <f>VLOOKUP(D257,Product_Master!A:D,4,FALSE)</f>
        <v>300</v>
      </c>
      <c r="L257" t="str">
        <f>VLOOKUP(C257,Customer_Master!A:C,2,FALSE)</f>
        <v>Reliance</v>
      </c>
      <c r="M257" t="str">
        <f>VLOOKUP(C257,Customer_Master!A:C,3,FALSE)</f>
        <v>Corporate</v>
      </c>
      <c r="N257">
        <f>Table1[[#This Row],[Quantity]]*Table1[[#This Row],[Unit_Price]]</f>
        <v>8580</v>
      </c>
      <c r="O257">
        <f>(Table1[[#This Row],[Unit_Price]]-Table1[[#This Row],[Cost_Price]])*Table1[[#This Row],[Quantity]]</f>
        <v>5580</v>
      </c>
      <c r="P257">
        <f t="shared" si="3"/>
        <v>8580</v>
      </c>
      <c r="Q257" t="str">
        <f>TEXT(Table1[[#This Row],[Order_Date]],"mmm-yyyy")</f>
        <v>Jul-2024</v>
      </c>
    </row>
    <row r="258" spans="1:17" x14ac:dyDescent="0.35">
      <c r="A258" t="s">
        <v>479</v>
      </c>
      <c r="B258" t="s">
        <v>480</v>
      </c>
      <c r="C258" t="s">
        <v>21</v>
      </c>
      <c r="D258" t="s">
        <v>26</v>
      </c>
      <c r="E258" t="s">
        <v>12</v>
      </c>
      <c r="F258" t="s">
        <v>18</v>
      </c>
      <c r="G258">
        <v>10</v>
      </c>
      <c r="H258">
        <v>1823</v>
      </c>
      <c r="I258" t="str">
        <f>VLOOKUP(D258,Product_Master!A:D,2,FALSE)</f>
        <v>Laptop</v>
      </c>
      <c r="J258" t="str">
        <f>VLOOKUP(D258,Product_Master!A:D,3,FALSE)</f>
        <v>Electronics</v>
      </c>
      <c r="K258">
        <f>VLOOKUP(D258,Product_Master!A:D,4,FALSE)</f>
        <v>900</v>
      </c>
      <c r="L258" t="str">
        <f>VLOOKUP(C258,Customer_Master!A:C,2,FALSE)</f>
        <v>Reliance</v>
      </c>
      <c r="M258" t="str">
        <f>VLOOKUP(C258,Customer_Master!A:C,3,FALSE)</f>
        <v>Corporate</v>
      </c>
      <c r="N258">
        <f>Table1[[#This Row],[Quantity]]*Table1[[#This Row],[Unit_Price]]</f>
        <v>18230</v>
      </c>
      <c r="O258">
        <f>(Table1[[#This Row],[Unit_Price]]-Table1[[#This Row],[Cost_Price]])*Table1[[#This Row],[Quantity]]</f>
        <v>9230</v>
      </c>
      <c r="P258">
        <f t="shared" ref="P258:P321" si="4">VALUE(N258)</f>
        <v>18230</v>
      </c>
      <c r="Q258" t="str">
        <f>TEXT(Table1[[#This Row],[Order_Date]],"mmm-yyyy")</f>
        <v>Apr-2024</v>
      </c>
    </row>
    <row r="259" spans="1:17" x14ac:dyDescent="0.35">
      <c r="A259" t="s">
        <v>481</v>
      </c>
      <c r="B259" t="s">
        <v>94</v>
      </c>
      <c r="C259" t="s">
        <v>30</v>
      </c>
      <c r="D259" t="s">
        <v>22</v>
      </c>
      <c r="E259" t="s">
        <v>27</v>
      </c>
      <c r="F259" t="s">
        <v>18</v>
      </c>
      <c r="G259">
        <v>4</v>
      </c>
      <c r="H259">
        <v>1174</v>
      </c>
      <c r="I259" t="str">
        <f>VLOOKUP(D259,Product_Master!A:D,2,FALSE)</f>
        <v>Desk</v>
      </c>
      <c r="J259" t="str">
        <f>VLOOKUP(D259,Product_Master!A:D,3,FALSE)</f>
        <v>Furniture</v>
      </c>
      <c r="K259">
        <f>VLOOKUP(D259,Product_Master!A:D,4,FALSE)</f>
        <v>300</v>
      </c>
      <c r="L259" t="str">
        <f>VLOOKUP(C259,Customer_Master!A:C,2,FALSE)</f>
        <v>Infosys</v>
      </c>
      <c r="M259" t="str">
        <f>VLOOKUP(C259,Customer_Master!A:C,3,FALSE)</f>
        <v>Corporate</v>
      </c>
      <c r="N259">
        <f>Table1[[#This Row],[Quantity]]*Table1[[#This Row],[Unit_Price]]</f>
        <v>4696</v>
      </c>
      <c r="O259">
        <f>(Table1[[#This Row],[Unit_Price]]-Table1[[#This Row],[Cost_Price]])*Table1[[#This Row],[Quantity]]</f>
        <v>3496</v>
      </c>
      <c r="P259">
        <f t="shared" si="4"/>
        <v>4696</v>
      </c>
      <c r="Q259" t="str">
        <f>TEXT(Table1[[#This Row],[Order_Date]],"mmm-yyyy")</f>
        <v>Feb-2024</v>
      </c>
    </row>
    <row r="260" spans="1:17" x14ac:dyDescent="0.35">
      <c r="A260" t="s">
        <v>482</v>
      </c>
      <c r="B260" t="s">
        <v>187</v>
      </c>
      <c r="C260" t="s">
        <v>42</v>
      </c>
      <c r="D260" t="s">
        <v>11</v>
      </c>
      <c r="E260" t="s">
        <v>33</v>
      </c>
      <c r="F260" t="s">
        <v>13</v>
      </c>
      <c r="G260">
        <v>7</v>
      </c>
      <c r="H260">
        <v>1569</v>
      </c>
      <c r="I260" t="str">
        <f>VLOOKUP(D260,Product_Master!A:D,2,FALSE)</f>
        <v>Chair</v>
      </c>
      <c r="J260" t="str">
        <f>VLOOKUP(D260,Product_Master!A:D,3,FALSE)</f>
        <v>Furniture</v>
      </c>
      <c r="K260">
        <f>VLOOKUP(D260,Product_Master!A:D,4,FALSE)</f>
        <v>150</v>
      </c>
      <c r="L260" t="str">
        <f>VLOOKUP(C260,Customer_Master!A:C,2,FALSE)</f>
        <v>Ramesh</v>
      </c>
      <c r="M260" t="str">
        <f>VLOOKUP(C260,Customer_Master!A:C,3,FALSE)</f>
        <v>Consumer</v>
      </c>
      <c r="N260">
        <f>Table1[[#This Row],[Quantity]]*Table1[[#This Row],[Unit_Price]]</f>
        <v>10983</v>
      </c>
      <c r="O260">
        <f>(Table1[[#This Row],[Unit_Price]]-Table1[[#This Row],[Cost_Price]])*Table1[[#This Row],[Quantity]]</f>
        <v>9933</v>
      </c>
      <c r="P260">
        <f t="shared" si="4"/>
        <v>10983</v>
      </c>
      <c r="Q260" t="str">
        <f>TEXT(Table1[[#This Row],[Order_Date]],"mmm-yyyy")</f>
        <v>Feb-2024</v>
      </c>
    </row>
    <row r="261" spans="1:17" x14ac:dyDescent="0.35">
      <c r="A261" t="s">
        <v>483</v>
      </c>
      <c r="B261" t="s">
        <v>484</v>
      </c>
      <c r="C261" t="s">
        <v>30</v>
      </c>
      <c r="D261" t="s">
        <v>26</v>
      </c>
      <c r="E261" t="s">
        <v>33</v>
      </c>
      <c r="F261" t="s">
        <v>18</v>
      </c>
      <c r="G261">
        <v>4</v>
      </c>
      <c r="H261">
        <v>1845</v>
      </c>
      <c r="I261" t="str">
        <f>VLOOKUP(D261,Product_Master!A:D,2,FALSE)</f>
        <v>Laptop</v>
      </c>
      <c r="J261" t="str">
        <f>VLOOKUP(D261,Product_Master!A:D,3,FALSE)</f>
        <v>Electronics</v>
      </c>
      <c r="K261">
        <f>VLOOKUP(D261,Product_Master!A:D,4,FALSE)</f>
        <v>900</v>
      </c>
      <c r="L261" t="str">
        <f>VLOOKUP(C261,Customer_Master!A:C,2,FALSE)</f>
        <v>Infosys</v>
      </c>
      <c r="M261" t="str">
        <f>VLOOKUP(C261,Customer_Master!A:C,3,FALSE)</f>
        <v>Corporate</v>
      </c>
      <c r="N261">
        <f>Table1[[#This Row],[Quantity]]*Table1[[#This Row],[Unit_Price]]</f>
        <v>7380</v>
      </c>
      <c r="O261">
        <f>(Table1[[#This Row],[Unit_Price]]-Table1[[#This Row],[Cost_Price]])*Table1[[#This Row],[Quantity]]</f>
        <v>3780</v>
      </c>
      <c r="P261">
        <f t="shared" si="4"/>
        <v>7380</v>
      </c>
      <c r="Q261" t="str">
        <f>TEXT(Table1[[#This Row],[Order_Date]],"mmm-yyyy")</f>
        <v>Jul-2024</v>
      </c>
    </row>
    <row r="262" spans="1:17" x14ac:dyDescent="0.35">
      <c r="A262" t="s">
        <v>485</v>
      </c>
      <c r="B262" t="s">
        <v>470</v>
      </c>
      <c r="C262" t="s">
        <v>10</v>
      </c>
      <c r="D262" t="s">
        <v>37</v>
      </c>
      <c r="E262" t="s">
        <v>17</v>
      </c>
      <c r="F262" t="s">
        <v>13</v>
      </c>
      <c r="G262">
        <v>8</v>
      </c>
      <c r="H262">
        <v>1454</v>
      </c>
      <c r="I262" t="str">
        <f>VLOOKUP(D262,Product_Master!A:D,2,FALSE)</f>
        <v>Mobile</v>
      </c>
      <c r="J262" t="str">
        <f>VLOOKUP(D262,Product_Master!A:D,3,FALSE)</f>
        <v>Electronics</v>
      </c>
      <c r="K262">
        <f>VLOOKUP(D262,Product_Master!A:D,4,FALSE)</f>
        <v>600</v>
      </c>
      <c r="L262" t="str">
        <f>VLOOKUP(C262,Customer_Master!A:C,2,FALSE)</f>
        <v>Suresh</v>
      </c>
      <c r="M262" t="str">
        <f>VLOOKUP(C262,Customer_Master!A:C,3,FALSE)</f>
        <v>Consumer</v>
      </c>
      <c r="N262">
        <f>Table1[[#This Row],[Quantity]]*Table1[[#This Row],[Unit_Price]]</f>
        <v>11632</v>
      </c>
      <c r="O262">
        <f>(Table1[[#This Row],[Unit_Price]]-Table1[[#This Row],[Cost_Price]])*Table1[[#This Row],[Quantity]]</f>
        <v>6832</v>
      </c>
      <c r="P262">
        <f t="shared" si="4"/>
        <v>11632</v>
      </c>
      <c r="Q262" t="str">
        <f>TEXT(Table1[[#This Row],[Order_Date]],"mmm-yyyy")</f>
        <v>Nov-2024</v>
      </c>
    </row>
    <row r="263" spans="1:17" x14ac:dyDescent="0.35">
      <c r="A263" t="s">
        <v>486</v>
      </c>
      <c r="B263" t="s">
        <v>286</v>
      </c>
      <c r="C263" t="s">
        <v>45</v>
      </c>
      <c r="D263" t="s">
        <v>22</v>
      </c>
      <c r="E263" t="s">
        <v>33</v>
      </c>
      <c r="F263" t="s">
        <v>23</v>
      </c>
      <c r="G263">
        <v>1</v>
      </c>
      <c r="H263">
        <v>899</v>
      </c>
      <c r="I263" t="str">
        <f>VLOOKUP(D263,Product_Master!A:D,2,FALSE)</f>
        <v>Desk</v>
      </c>
      <c r="J263" t="str">
        <f>VLOOKUP(D263,Product_Master!A:D,3,FALSE)</f>
        <v>Furniture</v>
      </c>
      <c r="K263">
        <f>VLOOKUP(D263,Product_Master!A:D,4,FALSE)</f>
        <v>300</v>
      </c>
      <c r="L263" t="str">
        <f>VLOOKUP(C263,Customer_Master!A:C,2,FALSE)</f>
        <v>TCS</v>
      </c>
      <c r="M263" t="str">
        <f>VLOOKUP(C263,Customer_Master!A:C,3,FALSE)</f>
        <v>Corporate</v>
      </c>
      <c r="N263">
        <f>Table1[[#This Row],[Quantity]]*Table1[[#This Row],[Unit_Price]]</f>
        <v>899</v>
      </c>
      <c r="O263">
        <f>(Table1[[#This Row],[Unit_Price]]-Table1[[#This Row],[Cost_Price]])*Table1[[#This Row],[Quantity]]</f>
        <v>599</v>
      </c>
      <c r="P263">
        <f t="shared" si="4"/>
        <v>899</v>
      </c>
      <c r="Q263" t="str">
        <f>TEXT(Table1[[#This Row],[Order_Date]],"mmm-yyyy")</f>
        <v>Mar-2024</v>
      </c>
    </row>
    <row r="264" spans="1:17" x14ac:dyDescent="0.35">
      <c r="A264" t="s">
        <v>487</v>
      </c>
      <c r="B264" t="s">
        <v>488</v>
      </c>
      <c r="C264" t="s">
        <v>42</v>
      </c>
      <c r="D264" t="s">
        <v>37</v>
      </c>
      <c r="E264" t="s">
        <v>12</v>
      </c>
      <c r="F264" t="s">
        <v>34</v>
      </c>
      <c r="G264">
        <v>1</v>
      </c>
      <c r="H264">
        <v>1529</v>
      </c>
      <c r="I264" t="str">
        <f>VLOOKUP(D264,Product_Master!A:D,2,FALSE)</f>
        <v>Mobile</v>
      </c>
      <c r="J264" t="str">
        <f>VLOOKUP(D264,Product_Master!A:D,3,FALSE)</f>
        <v>Electronics</v>
      </c>
      <c r="K264">
        <f>VLOOKUP(D264,Product_Master!A:D,4,FALSE)</f>
        <v>600</v>
      </c>
      <c r="L264" t="str">
        <f>VLOOKUP(C264,Customer_Master!A:C,2,FALSE)</f>
        <v>Ramesh</v>
      </c>
      <c r="M264" t="str">
        <f>VLOOKUP(C264,Customer_Master!A:C,3,FALSE)</f>
        <v>Consumer</v>
      </c>
      <c r="N264">
        <f>Table1[[#This Row],[Quantity]]*Table1[[#This Row],[Unit_Price]]</f>
        <v>1529</v>
      </c>
      <c r="O264">
        <f>(Table1[[#This Row],[Unit_Price]]-Table1[[#This Row],[Cost_Price]])*Table1[[#This Row],[Quantity]]</f>
        <v>929</v>
      </c>
      <c r="P264">
        <f t="shared" si="4"/>
        <v>1529</v>
      </c>
      <c r="Q264" t="str">
        <f>TEXT(Table1[[#This Row],[Order_Date]],"mmm-yyyy")</f>
        <v>Mar-2024</v>
      </c>
    </row>
    <row r="265" spans="1:17" x14ac:dyDescent="0.35">
      <c r="A265" t="s">
        <v>489</v>
      </c>
      <c r="B265" t="s">
        <v>490</v>
      </c>
      <c r="C265" t="s">
        <v>30</v>
      </c>
      <c r="D265" t="s">
        <v>22</v>
      </c>
      <c r="E265" t="s">
        <v>17</v>
      </c>
      <c r="F265" t="s">
        <v>13</v>
      </c>
      <c r="G265">
        <v>7</v>
      </c>
      <c r="H265">
        <v>1836</v>
      </c>
      <c r="I265" t="str">
        <f>VLOOKUP(D265,Product_Master!A:D,2,FALSE)</f>
        <v>Desk</v>
      </c>
      <c r="J265" t="str">
        <f>VLOOKUP(D265,Product_Master!A:D,3,FALSE)</f>
        <v>Furniture</v>
      </c>
      <c r="K265">
        <f>VLOOKUP(D265,Product_Master!A:D,4,FALSE)</f>
        <v>300</v>
      </c>
      <c r="L265" t="str">
        <f>VLOOKUP(C265,Customer_Master!A:C,2,FALSE)</f>
        <v>Infosys</v>
      </c>
      <c r="M265" t="str">
        <f>VLOOKUP(C265,Customer_Master!A:C,3,FALSE)</f>
        <v>Corporate</v>
      </c>
      <c r="N265">
        <f>Table1[[#This Row],[Quantity]]*Table1[[#This Row],[Unit_Price]]</f>
        <v>12852</v>
      </c>
      <c r="O265">
        <f>(Table1[[#This Row],[Unit_Price]]-Table1[[#This Row],[Cost_Price]])*Table1[[#This Row],[Quantity]]</f>
        <v>10752</v>
      </c>
      <c r="P265">
        <f t="shared" si="4"/>
        <v>12852</v>
      </c>
      <c r="Q265" t="str">
        <f>TEXT(Table1[[#This Row],[Order_Date]],"mmm-yyyy")</f>
        <v>Aug-2024</v>
      </c>
    </row>
    <row r="266" spans="1:17" x14ac:dyDescent="0.35">
      <c r="A266" t="s">
        <v>491</v>
      </c>
      <c r="B266" t="s">
        <v>492</v>
      </c>
      <c r="C266" t="s">
        <v>10</v>
      </c>
      <c r="D266" t="s">
        <v>26</v>
      </c>
      <c r="E266" t="s">
        <v>33</v>
      </c>
      <c r="F266" t="s">
        <v>18</v>
      </c>
      <c r="G266">
        <v>5</v>
      </c>
      <c r="H266">
        <v>1394</v>
      </c>
      <c r="I266" t="str">
        <f>VLOOKUP(D266,Product_Master!A:D,2,FALSE)</f>
        <v>Laptop</v>
      </c>
      <c r="J266" t="str">
        <f>VLOOKUP(D266,Product_Master!A:D,3,FALSE)</f>
        <v>Electronics</v>
      </c>
      <c r="K266">
        <f>VLOOKUP(D266,Product_Master!A:D,4,FALSE)</f>
        <v>900</v>
      </c>
      <c r="L266" t="str">
        <f>VLOOKUP(C266,Customer_Master!A:C,2,FALSE)</f>
        <v>Suresh</v>
      </c>
      <c r="M266" t="str">
        <f>VLOOKUP(C266,Customer_Master!A:C,3,FALSE)</f>
        <v>Consumer</v>
      </c>
      <c r="N266">
        <f>Table1[[#This Row],[Quantity]]*Table1[[#This Row],[Unit_Price]]</f>
        <v>6970</v>
      </c>
      <c r="O266">
        <f>(Table1[[#This Row],[Unit_Price]]-Table1[[#This Row],[Cost_Price]])*Table1[[#This Row],[Quantity]]</f>
        <v>2470</v>
      </c>
      <c r="P266">
        <f t="shared" si="4"/>
        <v>6970</v>
      </c>
      <c r="Q266" t="str">
        <f>TEXT(Table1[[#This Row],[Order_Date]],"mmm-yyyy")</f>
        <v>Jul-2024</v>
      </c>
    </row>
    <row r="267" spans="1:17" x14ac:dyDescent="0.35">
      <c r="A267" t="s">
        <v>493</v>
      </c>
      <c r="B267" t="s">
        <v>301</v>
      </c>
      <c r="C267" t="s">
        <v>42</v>
      </c>
      <c r="D267" t="s">
        <v>22</v>
      </c>
      <c r="E267" t="s">
        <v>33</v>
      </c>
      <c r="F267" t="s">
        <v>18</v>
      </c>
      <c r="G267">
        <v>1</v>
      </c>
      <c r="H267">
        <v>1706</v>
      </c>
      <c r="I267" t="str">
        <f>VLOOKUP(D267,Product_Master!A:D,2,FALSE)</f>
        <v>Desk</v>
      </c>
      <c r="J267" t="str">
        <f>VLOOKUP(D267,Product_Master!A:D,3,FALSE)</f>
        <v>Furniture</v>
      </c>
      <c r="K267">
        <f>VLOOKUP(D267,Product_Master!A:D,4,FALSE)</f>
        <v>300</v>
      </c>
      <c r="L267" t="str">
        <f>VLOOKUP(C267,Customer_Master!A:C,2,FALSE)</f>
        <v>Ramesh</v>
      </c>
      <c r="M267" t="str">
        <f>VLOOKUP(C267,Customer_Master!A:C,3,FALSE)</f>
        <v>Consumer</v>
      </c>
      <c r="N267">
        <f>Table1[[#This Row],[Quantity]]*Table1[[#This Row],[Unit_Price]]</f>
        <v>1706</v>
      </c>
      <c r="O267">
        <f>(Table1[[#This Row],[Unit_Price]]-Table1[[#This Row],[Cost_Price]])*Table1[[#This Row],[Quantity]]</f>
        <v>1406</v>
      </c>
      <c r="P267">
        <f t="shared" si="4"/>
        <v>1706</v>
      </c>
      <c r="Q267" t="str">
        <f>TEXT(Table1[[#This Row],[Order_Date]],"mmm-yyyy")</f>
        <v>Mar-2024</v>
      </c>
    </row>
    <row r="268" spans="1:17" x14ac:dyDescent="0.35">
      <c r="A268" t="s">
        <v>494</v>
      </c>
      <c r="B268" t="s">
        <v>495</v>
      </c>
      <c r="C268" t="s">
        <v>30</v>
      </c>
      <c r="D268" t="s">
        <v>22</v>
      </c>
      <c r="E268" t="s">
        <v>27</v>
      </c>
      <c r="F268" t="s">
        <v>34</v>
      </c>
      <c r="G268">
        <v>4</v>
      </c>
      <c r="H268">
        <v>1961</v>
      </c>
      <c r="I268" t="str">
        <f>VLOOKUP(D268,Product_Master!A:D,2,FALSE)</f>
        <v>Desk</v>
      </c>
      <c r="J268" t="str">
        <f>VLOOKUP(D268,Product_Master!A:D,3,FALSE)</f>
        <v>Furniture</v>
      </c>
      <c r="K268">
        <f>VLOOKUP(D268,Product_Master!A:D,4,FALSE)</f>
        <v>300</v>
      </c>
      <c r="L268" t="str">
        <f>VLOOKUP(C268,Customer_Master!A:C,2,FALSE)</f>
        <v>Infosys</v>
      </c>
      <c r="M268" t="str">
        <f>VLOOKUP(C268,Customer_Master!A:C,3,FALSE)</f>
        <v>Corporate</v>
      </c>
      <c r="N268">
        <f>Table1[[#This Row],[Quantity]]*Table1[[#This Row],[Unit_Price]]</f>
        <v>7844</v>
      </c>
      <c r="O268">
        <f>(Table1[[#This Row],[Unit_Price]]-Table1[[#This Row],[Cost_Price]])*Table1[[#This Row],[Quantity]]</f>
        <v>6644</v>
      </c>
      <c r="P268">
        <f t="shared" si="4"/>
        <v>7844</v>
      </c>
      <c r="Q268" t="str">
        <f>TEXT(Table1[[#This Row],[Order_Date]],"mmm-yyyy")</f>
        <v>Apr-2024</v>
      </c>
    </row>
    <row r="269" spans="1:17" x14ac:dyDescent="0.35">
      <c r="A269" t="s">
        <v>496</v>
      </c>
      <c r="B269" t="s">
        <v>124</v>
      </c>
      <c r="C269" t="s">
        <v>42</v>
      </c>
      <c r="D269" t="s">
        <v>37</v>
      </c>
      <c r="E269" t="s">
        <v>33</v>
      </c>
      <c r="F269" t="s">
        <v>23</v>
      </c>
      <c r="G269">
        <v>6</v>
      </c>
      <c r="H269">
        <v>1720</v>
      </c>
      <c r="I269" t="str">
        <f>VLOOKUP(D269,Product_Master!A:D,2,FALSE)</f>
        <v>Mobile</v>
      </c>
      <c r="J269" t="str">
        <f>VLOOKUP(D269,Product_Master!A:D,3,FALSE)</f>
        <v>Electronics</v>
      </c>
      <c r="K269">
        <f>VLOOKUP(D269,Product_Master!A:D,4,FALSE)</f>
        <v>600</v>
      </c>
      <c r="L269" t="str">
        <f>VLOOKUP(C269,Customer_Master!A:C,2,FALSE)</f>
        <v>Ramesh</v>
      </c>
      <c r="M269" t="str">
        <f>VLOOKUP(C269,Customer_Master!A:C,3,FALSE)</f>
        <v>Consumer</v>
      </c>
      <c r="N269">
        <f>Table1[[#This Row],[Quantity]]*Table1[[#This Row],[Unit_Price]]</f>
        <v>10320</v>
      </c>
      <c r="O269">
        <f>(Table1[[#This Row],[Unit_Price]]-Table1[[#This Row],[Cost_Price]])*Table1[[#This Row],[Quantity]]</f>
        <v>6720</v>
      </c>
      <c r="P269">
        <f t="shared" si="4"/>
        <v>10320</v>
      </c>
      <c r="Q269" t="str">
        <f>TEXT(Table1[[#This Row],[Order_Date]],"mmm-yyyy")</f>
        <v>Apr-2024</v>
      </c>
    </row>
    <row r="270" spans="1:17" x14ac:dyDescent="0.35">
      <c r="A270" t="s">
        <v>497</v>
      </c>
      <c r="B270" t="s">
        <v>498</v>
      </c>
      <c r="C270" t="s">
        <v>10</v>
      </c>
      <c r="D270" t="s">
        <v>16</v>
      </c>
      <c r="E270" t="s">
        <v>33</v>
      </c>
      <c r="F270" t="s">
        <v>13</v>
      </c>
      <c r="G270">
        <v>4</v>
      </c>
      <c r="H270">
        <v>1708</v>
      </c>
      <c r="I270" t="str">
        <f>VLOOKUP(D270,Product_Master!A:D,2,FALSE)</f>
        <v>Printer</v>
      </c>
      <c r="J270" t="str">
        <f>VLOOKUP(D270,Product_Master!A:D,3,FALSE)</f>
        <v>Electronics</v>
      </c>
      <c r="K270">
        <f>VLOOKUP(D270,Product_Master!A:D,4,FALSE)</f>
        <v>1100</v>
      </c>
      <c r="L270" t="str">
        <f>VLOOKUP(C270,Customer_Master!A:C,2,FALSE)</f>
        <v>Suresh</v>
      </c>
      <c r="M270" t="str">
        <f>VLOOKUP(C270,Customer_Master!A:C,3,FALSE)</f>
        <v>Consumer</v>
      </c>
      <c r="N270">
        <f>Table1[[#This Row],[Quantity]]*Table1[[#This Row],[Unit_Price]]</f>
        <v>6832</v>
      </c>
      <c r="O270">
        <f>(Table1[[#This Row],[Unit_Price]]-Table1[[#This Row],[Cost_Price]])*Table1[[#This Row],[Quantity]]</f>
        <v>2432</v>
      </c>
      <c r="P270">
        <f t="shared" si="4"/>
        <v>6832</v>
      </c>
      <c r="Q270" t="str">
        <f>TEXT(Table1[[#This Row],[Order_Date]],"mmm-yyyy")</f>
        <v>Aug-2024</v>
      </c>
    </row>
    <row r="271" spans="1:17" x14ac:dyDescent="0.35">
      <c r="A271" t="s">
        <v>499</v>
      </c>
      <c r="B271" t="s">
        <v>193</v>
      </c>
      <c r="C271" t="s">
        <v>42</v>
      </c>
      <c r="D271" t="s">
        <v>37</v>
      </c>
      <c r="E271" t="s">
        <v>17</v>
      </c>
      <c r="F271" t="s">
        <v>23</v>
      </c>
      <c r="G271">
        <v>1</v>
      </c>
      <c r="H271">
        <v>1639</v>
      </c>
      <c r="I271" t="str">
        <f>VLOOKUP(D271,Product_Master!A:D,2,FALSE)</f>
        <v>Mobile</v>
      </c>
      <c r="J271" t="str">
        <f>VLOOKUP(D271,Product_Master!A:D,3,FALSE)</f>
        <v>Electronics</v>
      </c>
      <c r="K271">
        <f>VLOOKUP(D271,Product_Master!A:D,4,FALSE)</f>
        <v>600</v>
      </c>
      <c r="L271" t="str">
        <f>VLOOKUP(C271,Customer_Master!A:C,2,FALSE)</f>
        <v>Ramesh</v>
      </c>
      <c r="M271" t="str">
        <f>VLOOKUP(C271,Customer_Master!A:C,3,FALSE)</f>
        <v>Consumer</v>
      </c>
      <c r="N271">
        <f>Table1[[#This Row],[Quantity]]*Table1[[#This Row],[Unit_Price]]</f>
        <v>1639</v>
      </c>
      <c r="O271">
        <f>(Table1[[#This Row],[Unit_Price]]-Table1[[#This Row],[Cost_Price]])*Table1[[#This Row],[Quantity]]</f>
        <v>1039</v>
      </c>
      <c r="P271">
        <f t="shared" si="4"/>
        <v>1639</v>
      </c>
      <c r="Q271" t="str">
        <f>TEXT(Table1[[#This Row],[Order_Date]],"mmm-yyyy")</f>
        <v>Sep-2024</v>
      </c>
    </row>
    <row r="272" spans="1:17" x14ac:dyDescent="0.35">
      <c r="A272" t="s">
        <v>500</v>
      </c>
      <c r="B272" t="s">
        <v>501</v>
      </c>
      <c r="C272" t="s">
        <v>10</v>
      </c>
      <c r="D272" t="s">
        <v>11</v>
      </c>
      <c r="E272" t="s">
        <v>17</v>
      </c>
      <c r="F272" t="s">
        <v>23</v>
      </c>
      <c r="G272">
        <v>7</v>
      </c>
      <c r="H272">
        <v>1258</v>
      </c>
      <c r="I272" t="str">
        <f>VLOOKUP(D272,Product_Master!A:D,2,FALSE)</f>
        <v>Chair</v>
      </c>
      <c r="J272" t="str">
        <f>VLOOKUP(D272,Product_Master!A:D,3,FALSE)</f>
        <v>Furniture</v>
      </c>
      <c r="K272">
        <f>VLOOKUP(D272,Product_Master!A:D,4,FALSE)</f>
        <v>150</v>
      </c>
      <c r="L272" t="str">
        <f>VLOOKUP(C272,Customer_Master!A:C,2,FALSE)</f>
        <v>Suresh</v>
      </c>
      <c r="M272" t="str">
        <f>VLOOKUP(C272,Customer_Master!A:C,3,FALSE)</f>
        <v>Consumer</v>
      </c>
      <c r="N272">
        <f>Table1[[#This Row],[Quantity]]*Table1[[#This Row],[Unit_Price]]</f>
        <v>8806</v>
      </c>
      <c r="O272">
        <f>(Table1[[#This Row],[Unit_Price]]-Table1[[#This Row],[Cost_Price]])*Table1[[#This Row],[Quantity]]</f>
        <v>7756</v>
      </c>
      <c r="P272">
        <f t="shared" si="4"/>
        <v>8806</v>
      </c>
      <c r="Q272" t="str">
        <f>TEXT(Table1[[#This Row],[Order_Date]],"mmm-yyyy")</f>
        <v>Jun-2024</v>
      </c>
    </row>
    <row r="273" spans="1:17" x14ac:dyDescent="0.35">
      <c r="A273" t="s">
        <v>502</v>
      </c>
      <c r="B273" t="s">
        <v>503</v>
      </c>
      <c r="C273" t="s">
        <v>21</v>
      </c>
      <c r="D273" t="s">
        <v>16</v>
      </c>
      <c r="E273" t="s">
        <v>17</v>
      </c>
      <c r="F273" t="s">
        <v>18</v>
      </c>
      <c r="G273">
        <v>6</v>
      </c>
      <c r="H273">
        <v>1723</v>
      </c>
      <c r="I273" t="str">
        <f>VLOOKUP(D273,Product_Master!A:D,2,FALSE)</f>
        <v>Printer</v>
      </c>
      <c r="J273" t="str">
        <f>VLOOKUP(D273,Product_Master!A:D,3,FALSE)</f>
        <v>Electronics</v>
      </c>
      <c r="K273">
        <f>VLOOKUP(D273,Product_Master!A:D,4,FALSE)</f>
        <v>1100</v>
      </c>
      <c r="L273" t="str">
        <f>VLOOKUP(C273,Customer_Master!A:C,2,FALSE)</f>
        <v>Reliance</v>
      </c>
      <c r="M273" t="str">
        <f>VLOOKUP(C273,Customer_Master!A:C,3,FALSE)</f>
        <v>Corporate</v>
      </c>
      <c r="N273">
        <f>Table1[[#This Row],[Quantity]]*Table1[[#This Row],[Unit_Price]]</f>
        <v>10338</v>
      </c>
      <c r="O273">
        <f>(Table1[[#This Row],[Unit_Price]]-Table1[[#This Row],[Cost_Price]])*Table1[[#This Row],[Quantity]]</f>
        <v>3738</v>
      </c>
      <c r="P273">
        <f t="shared" si="4"/>
        <v>10338</v>
      </c>
      <c r="Q273" t="str">
        <f>TEXT(Table1[[#This Row],[Order_Date]],"mmm-yyyy")</f>
        <v>Mar-2024</v>
      </c>
    </row>
    <row r="274" spans="1:17" x14ac:dyDescent="0.35">
      <c r="A274" t="s">
        <v>504</v>
      </c>
      <c r="B274" t="s">
        <v>273</v>
      </c>
      <c r="C274" t="s">
        <v>21</v>
      </c>
      <c r="D274" t="s">
        <v>37</v>
      </c>
      <c r="E274" t="s">
        <v>27</v>
      </c>
      <c r="F274" t="s">
        <v>13</v>
      </c>
      <c r="G274">
        <v>9</v>
      </c>
      <c r="H274">
        <v>1942</v>
      </c>
      <c r="I274" t="str">
        <f>VLOOKUP(D274,Product_Master!A:D,2,FALSE)</f>
        <v>Mobile</v>
      </c>
      <c r="J274" t="str">
        <f>VLOOKUP(D274,Product_Master!A:D,3,FALSE)</f>
        <v>Electronics</v>
      </c>
      <c r="K274">
        <f>VLOOKUP(D274,Product_Master!A:D,4,FALSE)</f>
        <v>600</v>
      </c>
      <c r="L274" t="str">
        <f>VLOOKUP(C274,Customer_Master!A:C,2,FALSE)</f>
        <v>Reliance</v>
      </c>
      <c r="M274" t="str">
        <f>VLOOKUP(C274,Customer_Master!A:C,3,FALSE)</f>
        <v>Corporate</v>
      </c>
      <c r="N274">
        <f>Table1[[#This Row],[Quantity]]*Table1[[#This Row],[Unit_Price]]</f>
        <v>17478</v>
      </c>
      <c r="O274">
        <f>(Table1[[#This Row],[Unit_Price]]-Table1[[#This Row],[Cost_Price]])*Table1[[#This Row],[Quantity]]</f>
        <v>12078</v>
      </c>
      <c r="P274">
        <f t="shared" si="4"/>
        <v>17478</v>
      </c>
      <c r="Q274" t="str">
        <f>TEXT(Table1[[#This Row],[Order_Date]],"mmm-yyyy")</f>
        <v>Jun-2024</v>
      </c>
    </row>
    <row r="275" spans="1:17" x14ac:dyDescent="0.35">
      <c r="A275" t="s">
        <v>505</v>
      </c>
      <c r="B275" t="s">
        <v>352</v>
      </c>
      <c r="C275" t="s">
        <v>42</v>
      </c>
      <c r="D275" t="s">
        <v>37</v>
      </c>
      <c r="E275" t="s">
        <v>33</v>
      </c>
      <c r="F275" t="s">
        <v>23</v>
      </c>
      <c r="G275">
        <v>4</v>
      </c>
      <c r="H275">
        <v>1064</v>
      </c>
      <c r="I275" t="str">
        <f>VLOOKUP(D275,Product_Master!A:D,2,FALSE)</f>
        <v>Mobile</v>
      </c>
      <c r="J275" t="str">
        <f>VLOOKUP(D275,Product_Master!A:D,3,FALSE)</f>
        <v>Electronics</v>
      </c>
      <c r="K275">
        <f>VLOOKUP(D275,Product_Master!A:D,4,FALSE)</f>
        <v>600</v>
      </c>
      <c r="L275" t="str">
        <f>VLOOKUP(C275,Customer_Master!A:C,2,FALSE)</f>
        <v>Ramesh</v>
      </c>
      <c r="M275" t="str">
        <f>VLOOKUP(C275,Customer_Master!A:C,3,FALSE)</f>
        <v>Consumer</v>
      </c>
      <c r="N275">
        <f>Table1[[#This Row],[Quantity]]*Table1[[#This Row],[Unit_Price]]</f>
        <v>4256</v>
      </c>
      <c r="O275">
        <f>(Table1[[#This Row],[Unit_Price]]-Table1[[#This Row],[Cost_Price]])*Table1[[#This Row],[Quantity]]</f>
        <v>1856</v>
      </c>
      <c r="P275">
        <f t="shared" si="4"/>
        <v>4256</v>
      </c>
      <c r="Q275" t="str">
        <f>TEXT(Table1[[#This Row],[Order_Date]],"mmm-yyyy")</f>
        <v>Mar-2024</v>
      </c>
    </row>
    <row r="276" spans="1:17" x14ac:dyDescent="0.35">
      <c r="A276" t="s">
        <v>506</v>
      </c>
      <c r="B276" t="s">
        <v>507</v>
      </c>
      <c r="C276" t="s">
        <v>10</v>
      </c>
      <c r="D276" t="s">
        <v>11</v>
      </c>
      <c r="E276" t="s">
        <v>12</v>
      </c>
      <c r="F276" t="s">
        <v>18</v>
      </c>
      <c r="G276">
        <v>1</v>
      </c>
      <c r="H276">
        <v>1825</v>
      </c>
      <c r="I276" t="str">
        <f>VLOOKUP(D276,Product_Master!A:D,2,FALSE)</f>
        <v>Chair</v>
      </c>
      <c r="J276" t="str">
        <f>VLOOKUP(D276,Product_Master!A:D,3,FALSE)</f>
        <v>Furniture</v>
      </c>
      <c r="K276">
        <f>VLOOKUP(D276,Product_Master!A:D,4,FALSE)</f>
        <v>150</v>
      </c>
      <c r="L276" t="str">
        <f>VLOOKUP(C276,Customer_Master!A:C,2,FALSE)</f>
        <v>Suresh</v>
      </c>
      <c r="M276" t="str">
        <f>VLOOKUP(C276,Customer_Master!A:C,3,FALSE)</f>
        <v>Consumer</v>
      </c>
      <c r="N276">
        <f>Table1[[#This Row],[Quantity]]*Table1[[#This Row],[Unit_Price]]</f>
        <v>1825</v>
      </c>
      <c r="O276">
        <f>(Table1[[#This Row],[Unit_Price]]-Table1[[#This Row],[Cost_Price]])*Table1[[#This Row],[Quantity]]</f>
        <v>1675</v>
      </c>
      <c r="P276">
        <f t="shared" si="4"/>
        <v>1825</v>
      </c>
      <c r="Q276" t="str">
        <f>TEXT(Table1[[#This Row],[Order_Date]],"mmm-yyyy")</f>
        <v>May-2024</v>
      </c>
    </row>
    <row r="277" spans="1:17" x14ac:dyDescent="0.35">
      <c r="A277" t="s">
        <v>508</v>
      </c>
      <c r="B277" t="s">
        <v>509</v>
      </c>
      <c r="C277" t="s">
        <v>30</v>
      </c>
      <c r="D277" t="s">
        <v>22</v>
      </c>
      <c r="E277" t="s">
        <v>17</v>
      </c>
      <c r="F277" t="s">
        <v>23</v>
      </c>
      <c r="G277">
        <v>3</v>
      </c>
      <c r="H277">
        <v>1531</v>
      </c>
      <c r="I277" t="str">
        <f>VLOOKUP(D277,Product_Master!A:D,2,FALSE)</f>
        <v>Desk</v>
      </c>
      <c r="J277" t="str">
        <f>VLOOKUP(D277,Product_Master!A:D,3,FALSE)</f>
        <v>Furniture</v>
      </c>
      <c r="K277">
        <f>VLOOKUP(D277,Product_Master!A:D,4,FALSE)</f>
        <v>300</v>
      </c>
      <c r="L277" t="str">
        <f>VLOOKUP(C277,Customer_Master!A:C,2,FALSE)</f>
        <v>Infosys</v>
      </c>
      <c r="M277" t="str">
        <f>VLOOKUP(C277,Customer_Master!A:C,3,FALSE)</f>
        <v>Corporate</v>
      </c>
      <c r="N277">
        <f>Table1[[#This Row],[Quantity]]*Table1[[#This Row],[Unit_Price]]</f>
        <v>4593</v>
      </c>
      <c r="O277">
        <f>(Table1[[#This Row],[Unit_Price]]-Table1[[#This Row],[Cost_Price]])*Table1[[#This Row],[Quantity]]</f>
        <v>3693</v>
      </c>
      <c r="P277">
        <f t="shared" si="4"/>
        <v>4593</v>
      </c>
      <c r="Q277" t="str">
        <f>TEXT(Table1[[#This Row],[Order_Date]],"mmm-yyyy")</f>
        <v>Dec-2024</v>
      </c>
    </row>
    <row r="278" spans="1:17" x14ac:dyDescent="0.35">
      <c r="A278" t="s">
        <v>510</v>
      </c>
      <c r="B278" t="s">
        <v>84</v>
      </c>
      <c r="C278" t="s">
        <v>21</v>
      </c>
      <c r="D278" t="s">
        <v>37</v>
      </c>
      <c r="E278" t="s">
        <v>17</v>
      </c>
      <c r="F278" t="s">
        <v>34</v>
      </c>
      <c r="G278">
        <v>6</v>
      </c>
      <c r="H278">
        <v>1184</v>
      </c>
      <c r="I278" t="str">
        <f>VLOOKUP(D278,Product_Master!A:D,2,FALSE)</f>
        <v>Mobile</v>
      </c>
      <c r="J278" t="str">
        <f>VLOOKUP(D278,Product_Master!A:D,3,FALSE)</f>
        <v>Electronics</v>
      </c>
      <c r="K278">
        <f>VLOOKUP(D278,Product_Master!A:D,4,FALSE)</f>
        <v>600</v>
      </c>
      <c r="L278" t="str">
        <f>VLOOKUP(C278,Customer_Master!A:C,2,FALSE)</f>
        <v>Reliance</v>
      </c>
      <c r="M278" t="str">
        <f>VLOOKUP(C278,Customer_Master!A:C,3,FALSE)</f>
        <v>Corporate</v>
      </c>
      <c r="N278">
        <f>Table1[[#This Row],[Quantity]]*Table1[[#This Row],[Unit_Price]]</f>
        <v>7104</v>
      </c>
      <c r="O278">
        <f>(Table1[[#This Row],[Unit_Price]]-Table1[[#This Row],[Cost_Price]])*Table1[[#This Row],[Quantity]]</f>
        <v>3504</v>
      </c>
      <c r="P278">
        <f t="shared" si="4"/>
        <v>7104</v>
      </c>
      <c r="Q278" t="str">
        <f>TEXT(Table1[[#This Row],[Order_Date]],"mmm-yyyy")</f>
        <v>Nov-2024</v>
      </c>
    </row>
    <row r="279" spans="1:17" x14ac:dyDescent="0.35">
      <c r="A279" t="s">
        <v>511</v>
      </c>
      <c r="B279" t="s">
        <v>512</v>
      </c>
      <c r="C279" t="s">
        <v>30</v>
      </c>
      <c r="D279" t="s">
        <v>22</v>
      </c>
      <c r="E279" t="s">
        <v>17</v>
      </c>
      <c r="F279" t="s">
        <v>34</v>
      </c>
      <c r="G279">
        <v>7</v>
      </c>
      <c r="H279">
        <v>1695</v>
      </c>
      <c r="I279" t="str">
        <f>VLOOKUP(D279,Product_Master!A:D,2,FALSE)</f>
        <v>Desk</v>
      </c>
      <c r="J279" t="str">
        <f>VLOOKUP(D279,Product_Master!A:D,3,FALSE)</f>
        <v>Furniture</v>
      </c>
      <c r="K279">
        <f>VLOOKUP(D279,Product_Master!A:D,4,FALSE)</f>
        <v>300</v>
      </c>
      <c r="L279" t="str">
        <f>VLOOKUP(C279,Customer_Master!A:C,2,FALSE)</f>
        <v>Infosys</v>
      </c>
      <c r="M279" t="str">
        <f>VLOOKUP(C279,Customer_Master!A:C,3,FALSE)</f>
        <v>Corporate</v>
      </c>
      <c r="N279">
        <f>Table1[[#This Row],[Quantity]]*Table1[[#This Row],[Unit_Price]]</f>
        <v>11865</v>
      </c>
      <c r="O279">
        <f>(Table1[[#This Row],[Unit_Price]]-Table1[[#This Row],[Cost_Price]])*Table1[[#This Row],[Quantity]]</f>
        <v>9765</v>
      </c>
      <c r="P279">
        <f t="shared" si="4"/>
        <v>11865</v>
      </c>
      <c r="Q279" t="str">
        <f>TEXT(Table1[[#This Row],[Order_Date]],"mmm-yyyy")</f>
        <v>Jul-2024</v>
      </c>
    </row>
    <row r="280" spans="1:17" x14ac:dyDescent="0.35">
      <c r="A280" t="s">
        <v>513</v>
      </c>
      <c r="B280" t="s">
        <v>514</v>
      </c>
      <c r="C280" t="s">
        <v>21</v>
      </c>
      <c r="D280" t="s">
        <v>22</v>
      </c>
      <c r="E280" t="s">
        <v>33</v>
      </c>
      <c r="F280" t="s">
        <v>13</v>
      </c>
      <c r="G280">
        <v>3</v>
      </c>
      <c r="H280">
        <v>1121</v>
      </c>
      <c r="I280" t="str">
        <f>VLOOKUP(D280,Product_Master!A:D,2,FALSE)</f>
        <v>Desk</v>
      </c>
      <c r="J280" t="str">
        <f>VLOOKUP(D280,Product_Master!A:D,3,FALSE)</f>
        <v>Furniture</v>
      </c>
      <c r="K280">
        <f>VLOOKUP(D280,Product_Master!A:D,4,FALSE)</f>
        <v>300</v>
      </c>
      <c r="L280" t="str">
        <f>VLOOKUP(C280,Customer_Master!A:C,2,FALSE)</f>
        <v>Reliance</v>
      </c>
      <c r="M280" t="str">
        <f>VLOOKUP(C280,Customer_Master!A:C,3,FALSE)</f>
        <v>Corporate</v>
      </c>
      <c r="N280">
        <f>Table1[[#This Row],[Quantity]]*Table1[[#This Row],[Unit_Price]]</f>
        <v>3363</v>
      </c>
      <c r="O280">
        <f>(Table1[[#This Row],[Unit_Price]]-Table1[[#This Row],[Cost_Price]])*Table1[[#This Row],[Quantity]]</f>
        <v>2463</v>
      </c>
      <c r="P280">
        <f t="shared" si="4"/>
        <v>3363</v>
      </c>
      <c r="Q280" t="str">
        <f>TEXT(Table1[[#This Row],[Order_Date]],"mmm-yyyy")</f>
        <v>Feb-2024</v>
      </c>
    </row>
    <row r="281" spans="1:17" x14ac:dyDescent="0.35">
      <c r="A281" t="s">
        <v>515</v>
      </c>
      <c r="B281" t="s">
        <v>107</v>
      </c>
      <c r="C281" t="s">
        <v>10</v>
      </c>
      <c r="D281" t="s">
        <v>37</v>
      </c>
      <c r="E281" t="s">
        <v>27</v>
      </c>
      <c r="F281" t="s">
        <v>13</v>
      </c>
      <c r="G281">
        <v>7</v>
      </c>
      <c r="H281">
        <v>1496</v>
      </c>
      <c r="I281" t="str">
        <f>VLOOKUP(D281,Product_Master!A:D,2,FALSE)</f>
        <v>Mobile</v>
      </c>
      <c r="J281" t="str">
        <f>VLOOKUP(D281,Product_Master!A:D,3,FALSE)</f>
        <v>Electronics</v>
      </c>
      <c r="K281">
        <f>VLOOKUP(D281,Product_Master!A:D,4,FALSE)</f>
        <v>600</v>
      </c>
      <c r="L281" t="str">
        <f>VLOOKUP(C281,Customer_Master!A:C,2,FALSE)</f>
        <v>Suresh</v>
      </c>
      <c r="M281" t="str">
        <f>VLOOKUP(C281,Customer_Master!A:C,3,FALSE)</f>
        <v>Consumer</v>
      </c>
      <c r="N281">
        <f>Table1[[#This Row],[Quantity]]*Table1[[#This Row],[Unit_Price]]</f>
        <v>10472</v>
      </c>
      <c r="O281">
        <f>(Table1[[#This Row],[Unit_Price]]-Table1[[#This Row],[Cost_Price]])*Table1[[#This Row],[Quantity]]</f>
        <v>6272</v>
      </c>
      <c r="P281">
        <f t="shared" si="4"/>
        <v>10472</v>
      </c>
      <c r="Q281" t="str">
        <f>TEXT(Table1[[#This Row],[Order_Date]],"mmm-yyyy")</f>
        <v>Jul-2024</v>
      </c>
    </row>
    <row r="282" spans="1:17" x14ac:dyDescent="0.35">
      <c r="A282" t="s">
        <v>516</v>
      </c>
      <c r="B282" t="s">
        <v>517</v>
      </c>
      <c r="C282" t="s">
        <v>45</v>
      </c>
      <c r="D282" t="s">
        <v>37</v>
      </c>
      <c r="E282" t="s">
        <v>17</v>
      </c>
      <c r="F282" t="s">
        <v>34</v>
      </c>
      <c r="G282">
        <v>9</v>
      </c>
      <c r="H282">
        <v>1335</v>
      </c>
      <c r="I282" t="str">
        <f>VLOOKUP(D282,Product_Master!A:D,2,FALSE)</f>
        <v>Mobile</v>
      </c>
      <c r="J282" t="str">
        <f>VLOOKUP(D282,Product_Master!A:D,3,FALSE)</f>
        <v>Electronics</v>
      </c>
      <c r="K282">
        <f>VLOOKUP(D282,Product_Master!A:D,4,FALSE)</f>
        <v>600</v>
      </c>
      <c r="L282" t="str">
        <f>VLOOKUP(C282,Customer_Master!A:C,2,FALSE)</f>
        <v>TCS</v>
      </c>
      <c r="M282" t="str">
        <f>VLOOKUP(C282,Customer_Master!A:C,3,FALSE)</f>
        <v>Corporate</v>
      </c>
      <c r="N282">
        <f>Table1[[#This Row],[Quantity]]*Table1[[#This Row],[Unit_Price]]</f>
        <v>12015</v>
      </c>
      <c r="O282">
        <f>(Table1[[#This Row],[Unit_Price]]-Table1[[#This Row],[Cost_Price]])*Table1[[#This Row],[Quantity]]</f>
        <v>6615</v>
      </c>
      <c r="P282">
        <f t="shared" si="4"/>
        <v>12015</v>
      </c>
      <c r="Q282" t="str">
        <f>TEXT(Table1[[#This Row],[Order_Date]],"mmm-yyyy")</f>
        <v>May-2024</v>
      </c>
    </row>
    <row r="283" spans="1:17" x14ac:dyDescent="0.35">
      <c r="A283" t="s">
        <v>518</v>
      </c>
      <c r="B283" t="s">
        <v>177</v>
      </c>
      <c r="C283" t="s">
        <v>10</v>
      </c>
      <c r="D283" t="s">
        <v>11</v>
      </c>
      <c r="E283" t="s">
        <v>17</v>
      </c>
      <c r="F283" t="s">
        <v>23</v>
      </c>
      <c r="G283">
        <v>7</v>
      </c>
      <c r="H283">
        <v>1377</v>
      </c>
      <c r="I283" t="str">
        <f>VLOOKUP(D283,Product_Master!A:D,2,FALSE)</f>
        <v>Chair</v>
      </c>
      <c r="J283" t="str">
        <f>VLOOKUP(D283,Product_Master!A:D,3,FALSE)</f>
        <v>Furniture</v>
      </c>
      <c r="K283">
        <f>VLOOKUP(D283,Product_Master!A:D,4,FALSE)</f>
        <v>150</v>
      </c>
      <c r="L283" t="str">
        <f>VLOOKUP(C283,Customer_Master!A:C,2,FALSE)</f>
        <v>Suresh</v>
      </c>
      <c r="M283" t="str">
        <f>VLOOKUP(C283,Customer_Master!A:C,3,FALSE)</f>
        <v>Consumer</v>
      </c>
      <c r="N283">
        <f>Table1[[#This Row],[Quantity]]*Table1[[#This Row],[Unit_Price]]</f>
        <v>9639</v>
      </c>
      <c r="O283">
        <f>(Table1[[#This Row],[Unit_Price]]-Table1[[#This Row],[Cost_Price]])*Table1[[#This Row],[Quantity]]</f>
        <v>8589</v>
      </c>
      <c r="P283">
        <f t="shared" si="4"/>
        <v>9639</v>
      </c>
      <c r="Q283" t="str">
        <f>TEXT(Table1[[#This Row],[Order_Date]],"mmm-yyyy")</f>
        <v>Jan-2024</v>
      </c>
    </row>
    <row r="284" spans="1:17" x14ac:dyDescent="0.35">
      <c r="A284" t="s">
        <v>519</v>
      </c>
      <c r="B284" t="s">
        <v>520</v>
      </c>
      <c r="C284" t="s">
        <v>45</v>
      </c>
      <c r="D284" t="s">
        <v>26</v>
      </c>
      <c r="E284" t="s">
        <v>27</v>
      </c>
      <c r="F284" t="s">
        <v>13</v>
      </c>
      <c r="G284">
        <v>1</v>
      </c>
      <c r="H284">
        <v>1245</v>
      </c>
      <c r="I284" t="str">
        <f>VLOOKUP(D284,Product_Master!A:D,2,FALSE)</f>
        <v>Laptop</v>
      </c>
      <c r="J284" t="str">
        <f>VLOOKUP(D284,Product_Master!A:D,3,FALSE)</f>
        <v>Electronics</v>
      </c>
      <c r="K284">
        <f>VLOOKUP(D284,Product_Master!A:D,4,FALSE)</f>
        <v>900</v>
      </c>
      <c r="L284" t="str">
        <f>VLOOKUP(C284,Customer_Master!A:C,2,FALSE)</f>
        <v>TCS</v>
      </c>
      <c r="M284" t="str">
        <f>VLOOKUP(C284,Customer_Master!A:C,3,FALSE)</f>
        <v>Corporate</v>
      </c>
      <c r="N284">
        <f>Table1[[#This Row],[Quantity]]*Table1[[#This Row],[Unit_Price]]</f>
        <v>1245</v>
      </c>
      <c r="O284">
        <f>(Table1[[#This Row],[Unit_Price]]-Table1[[#This Row],[Cost_Price]])*Table1[[#This Row],[Quantity]]</f>
        <v>345</v>
      </c>
      <c r="P284">
        <f t="shared" si="4"/>
        <v>1245</v>
      </c>
      <c r="Q284" t="str">
        <f>TEXT(Table1[[#This Row],[Order_Date]],"mmm-yyyy")</f>
        <v>Jul-2024</v>
      </c>
    </row>
    <row r="285" spans="1:17" x14ac:dyDescent="0.35">
      <c r="A285" t="s">
        <v>521</v>
      </c>
      <c r="B285" t="s">
        <v>522</v>
      </c>
      <c r="C285" t="s">
        <v>30</v>
      </c>
      <c r="D285" t="s">
        <v>22</v>
      </c>
      <c r="E285" t="s">
        <v>12</v>
      </c>
      <c r="F285" t="s">
        <v>18</v>
      </c>
      <c r="G285">
        <v>5</v>
      </c>
      <c r="H285">
        <v>1122</v>
      </c>
      <c r="I285" t="str">
        <f>VLOOKUP(D285,Product_Master!A:D,2,FALSE)</f>
        <v>Desk</v>
      </c>
      <c r="J285" t="str">
        <f>VLOOKUP(D285,Product_Master!A:D,3,FALSE)</f>
        <v>Furniture</v>
      </c>
      <c r="K285">
        <f>VLOOKUP(D285,Product_Master!A:D,4,FALSE)</f>
        <v>300</v>
      </c>
      <c r="L285" t="str">
        <f>VLOOKUP(C285,Customer_Master!A:C,2,FALSE)</f>
        <v>Infosys</v>
      </c>
      <c r="M285" t="str">
        <f>VLOOKUP(C285,Customer_Master!A:C,3,FALSE)</f>
        <v>Corporate</v>
      </c>
      <c r="N285">
        <f>Table1[[#This Row],[Quantity]]*Table1[[#This Row],[Unit_Price]]</f>
        <v>5610</v>
      </c>
      <c r="O285">
        <f>(Table1[[#This Row],[Unit_Price]]-Table1[[#This Row],[Cost_Price]])*Table1[[#This Row],[Quantity]]</f>
        <v>4110</v>
      </c>
      <c r="P285">
        <f t="shared" si="4"/>
        <v>5610</v>
      </c>
      <c r="Q285" t="str">
        <f>TEXT(Table1[[#This Row],[Order_Date]],"mmm-yyyy")</f>
        <v>Feb-2024</v>
      </c>
    </row>
    <row r="286" spans="1:17" x14ac:dyDescent="0.35">
      <c r="A286" t="s">
        <v>523</v>
      </c>
      <c r="B286" t="s">
        <v>524</v>
      </c>
      <c r="C286" t="s">
        <v>10</v>
      </c>
      <c r="D286" t="s">
        <v>11</v>
      </c>
      <c r="E286" t="s">
        <v>27</v>
      </c>
      <c r="F286" t="s">
        <v>13</v>
      </c>
      <c r="G286">
        <v>3</v>
      </c>
      <c r="H286">
        <v>1709</v>
      </c>
      <c r="I286" t="str">
        <f>VLOOKUP(D286,Product_Master!A:D,2,FALSE)</f>
        <v>Chair</v>
      </c>
      <c r="J286" t="str">
        <f>VLOOKUP(D286,Product_Master!A:D,3,FALSE)</f>
        <v>Furniture</v>
      </c>
      <c r="K286">
        <f>VLOOKUP(D286,Product_Master!A:D,4,FALSE)</f>
        <v>150</v>
      </c>
      <c r="L286" t="str">
        <f>VLOOKUP(C286,Customer_Master!A:C,2,FALSE)</f>
        <v>Suresh</v>
      </c>
      <c r="M286" t="str">
        <f>VLOOKUP(C286,Customer_Master!A:C,3,FALSE)</f>
        <v>Consumer</v>
      </c>
      <c r="N286">
        <f>Table1[[#This Row],[Quantity]]*Table1[[#This Row],[Unit_Price]]</f>
        <v>5127</v>
      </c>
      <c r="O286">
        <f>(Table1[[#This Row],[Unit_Price]]-Table1[[#This Row],[Cost_Price]])*Table1[[#This Row],[Quantity]]</f>
        <v>4677</v>
      </c>
      <c r="P286">
        <f t="shared" si="4"/>
        <v>5127</v>
      </c>
      <c r="Q286" t="str">
        <f>TEXT(Table1[[#This Row],[Order_Date]],"mmm-yyyy")</f>
        <v>Oct-2024</v>
      </c>
    </row>
    <row r="287" spans="1:17" x14ac:dyDescent="0.35">
      <c r="A287" t="s">
        <v>525</v>
      </c>
      <c r="B287" t="s">
        <v>51</v>
      </c>
      <c r="C287" t="s">
        <v>45</v>
      </c>
      <c r="D287" t="s">
        <v>22</v>
      </c>
      <c r="E287" t="s">
        <v>27</v>
      </c>
      <c r="F287" t="s">
        <v>23</v>
      </c>
      <c r="G287">
        <v>10</v>
      </c>
      <c r="H287">
        <v>1046</v>
      </c>
      <c r="I287" t="str">
        <f>VLOOKUP(D287,Product_Master!A:D,2,FALSE)</f>
        <v>Desk</v>
      </c>
      <c r="J287" t="str">
        <f>VLOOKUP(D287,Product_Master!A:D,3,FALSE)</f>
        <v>Furniture</v>
      </c>
      <c r="K287">
        <f>VLOOKUP(D287,Product_Master!A:D,4,FALSE)</f>
        <v>300</v>
      </c>
      <c r="L287" t="str">
        <f>VLOOKUP(C287,Customer_Master!A:C,2,FALSE)</f>
        <v>TCS</v>
      </c>
      <c r="M287" t="str">
        <f>VLOOKUP(C287,Customer_Master!A:C,3,FALSE)</f>
        <v>Corporate</v>
      </c>
      <c r="N287">
        <f>Table1[[#This Row],[Quantity]]*Table1[[#This Row],[Unit_Price]]</f>
        <v>10460</v>
      </c>
      <c r="O287">
        <f>(Table1[[#This Row],[Unit_Price]]-Table1[[#This Row],[Cost_Price]])*Table1[[#This Row],[Quantity]]</f>
        <v>7460</v>
      </c>
      <c r="P287">
        <f t="shared" si="4"/>
        <v>10460</v>
      </c>
      <c r="Q287" t="str">
        <f>TEXT(Table1[[#This Row],[Order_Date]],"mmm-yyyy")</f>
        <v>Aug-2024</v>
      </c>
    </row>
    <row r="288" spans="1:17" x14ac:dyDescent="0.35">
      <c r="A288" t="s">
        <v>526</v>
      </c>
      <c r="B288" t="s">
        <v>527</v>
      </c>
      <c r="C288" t="s">
        <v>42</v>
      </c>
      <c r="D288" t="s">
        <v>22</v>
      </c>
      <c r="E288" t="s">
        <v>33</v>
      </c>
      <c r="F288" t="s">
        <v>13</v>
      </c>
      <c r="G288">
        <v>4</v>
      </c>
      <c r="H288">
        <v>1762</v>
      </c>
      <c r="I288" t="str">
        <f>VLOOKUP(D288,Product_Master!A:D,2,FALSE)</f>
        <v>Desk</v>
      </c>
      <c r="J288" t="str">
        <f>VLOOKUP(D288,Product_Master!A:D,3,FALSE)</f>
        <v>Furniture</v>
      </c>
      <c r="K288">
        <f>VLOOKUP(D288,Product_Master!A:D,4,FALSE)</f>
        <v>300</v>
      </c>
      <c r="L288" t="str">
        <f>VLOOKUP(C288,Customer_Master!A:C,2,FALSE)</f>
        <v>Ramesh</v>
      </c>
      <c r="M288" t="str">
        <f>VLOOKUP(C288,Customer_Master!A:C,3,FALSE)</f>
        <v>Consumer</v>
      </c>
      <c r="N288">
        <f>Table1[[#This Row],[Quantity]]*Table1[[#This Row],[Unit_Price]]</f>
        <v>7048</v>
      </c>
      <c r="O288">
        <f>(Table1[[#This Row],[Unit_Price]]-Table1[[#This Row],[Cost_Price]])*Table1[[#This Row],[Quantity]]</f>
        <v>5848</v>
      </c>
      <c r="P288">
        <f t="shared" si="4"/>
        <v>7048</v>
      </c>
      <c r="Q288" t="str">
        <f>TEXT(Table1[[#This Row],[Order_Date]],"mmm-yyyy")</f>
        <v>Oct-2024</v>
      </c>
    </row>
    <row r="289" spans="1:17" x14ac:dyDescent="0.35">
      <c r="A289" t="s">
        <v>528</v>
      </c>
      <c r="B289" t="s">
        <v>156</v>
      </c>
      <c r="C289" t="s">
        <v>30</v>
      </c>
      <c r="D289" t="s">
        <v>11</v>
      </c>
      <c r="E289" t="s">
        <v>33</v>
      </c>
      <c r="F289" t="s">
        <v>13</v>
      </c>
      <c r="G289">
        <v>9</v>
      </c>
      <c r="H289">
        <v>1005</v>
      </c>
      <c r="I289" t="str">
        <f>VLOOKUP(D289,Product_Master!A:D,2,FALSE)</f>
        <v>Chair</v>
      </c>
      <c r="J289" t="str">
        <f>VLOOKUP(D289,Product_Master!A:D,3,FALSE)</f>
        <v>Furniture</v>
      </c>
      <c r="K289">
        <f>VLOOKUP(D289,Product_Master!A:D,4,FALSE)</f>
        <v>150</v>
      </c>
      <c r="L289" t="str">
        <f>VLOOKUP(C289,Customer_Master!A:C,2,FALSE)</f>
        <v>Infosys</v>
      </c>
      <c r="M289" t="str">
        <f>VLOOKUP(C289,Customer_Master!A:C,3,FALSE)</f>
        <v>Corporate</v>
      </c>
      <c r="N289">
        <f>Table1[[#This Row],[Quantity]]*Table1[[#This Row],[Unit_Price]]</f>
        <v>9045</v>
      </c>
      <c r="O289">
        <f>(Table1[[#This Row],[Unit_Price]]-Table1[[#This Row],[Cost_Price]])*Table1[[#This Row],[Quantity]]</f>
        <v>7695</v>
      </c>
      <c r="P289">
        <f t="shared" si="4"/>
        <v>9045</v>
      </c>
      <c r="Q289" t="str">
        <f>TEXT(Table1[[#This Row],[Order_Date]],"mmm-yyyy")</f>
        <v>Jun-2024</v>
      </c>
    </row>
    <row r="290" spans="1:17" x14ac:dyDescent="0.35">
      <c r="A290" t="s">
        <v>529</v>
      </c>
      <c r="B290" t="s">
        <v>530</v>
      </c>
      <c r="C290" t="s">
        <v>10</v>
      </c>
      <c r="D290" t="s">
        <v>37</v>
      </c>
      <c r="E290" t="s">
        <v>27</v>
      </c>
      <c r="F290" t="s">
        <v>13</v>
      </c>
      <c r="G290">
        <v>4</v>
      </c>
      <c r="H290">
        <v>1257</v>
      </c>
      <c r="I290" t="str">
        <f>VLOOKUP(D290,Product_Master!A:D,2,FALSE)</f>
        <v>Mobile</v>
      </c>
      <c r="J290" t="str">
        <f>VLOOKUP(D290,Product_Master!A:D,3,FALSE)</f>
        <v>Electronics</v>
      </c>
      <c r="K290">
        <f>VLOOKUP(D290,Product_Master!A:D,4,FALSE)</f>
        <v>600</v>
      </c>
      <c r="L290" t="str">
        <f>VLOOKUP(C290,Customer_Master!A:C,2,FALSE)</f>
        <v>Suresh</v>
      </c>
      <c r="M290" t="str">
        <f>VLOOKUP(C290,Customer_Master!A:C,3,FALSE)</f>
        <v>Consumer</v>
      </c>
      <c r="N290">
        <f>Table1[[#This Row],[Quantity]]*Table1[[#This Row],[Unit_Price]]</f>
        <v>5028</v>
      </c>
      <c r="O290">
        <f>(Table1[[#This Row],[Unit_Price]]-Table1[[#This Row],[Cost_Price]])*Table1[[#This Row],[Quantity]]</f>
        <v>2628</v>
      </c>
      <c r="P290">
        <f t="shared" si="4"/>
        <v>5028</v>
      </c>
      <c r="Q290" t="str">
        <f>TEXT(Table1[[#This Row],[Order_Date]],"mmm-yyyy")</f>
        <v>Mar-2024</v>
      </c>
    </row>
    <row r="291" spans="1:17" x14ac:dyDescent="0.35">
      <c r="A291" t="s">
        <v>531</v>
      </c>
      <c r="B291" t="s">
        <v>415</v>
      </c>
      <c r="C291" t="s">
        <v>21</v>
      </c>
      <c r="D291" t="s">
        <v>37</v>
      </c>
      <c r="E291" t="s">
        <v>12</v>
      </c>
      <c r="F291" t="s">
        <v>34</v>
      </c>
      <c r="G291">
        <v>4</v>
      </c>
      <c r="H291">
        <v>1340</v>
      </c>
      <c r="I291" t="str">
        <f>VLOOKUP(D291,Product_Master!A:D,2,FALSE)</f>
        <v>Mobile</v>
      </c>
      <c r="J291" t="str">
        <f>VLOOKUP(D291,Product_Master!A:D,3,FALSE)</f>
        <v>Electronics</v>
      </c>
      <c r="K291">
        <f>VLOOKUP(D291,Product_Master!A:D,4,FALSE)</f>
        <v>600</v>
      </c>
      <c r="L291" t="str">
        <f>VLOOKUP(C291,Customer_Master!A:C,2,FALSE)</f>
        <v>Reliance</v>
      </c>
      <c r="M291" t="str">
        <f>VLOOKUP(C291,Customer_Master!A:C,3,FALSE)</f>
        <v>Corporate</v>
      </c>
      <c r="N291">
        <f>Table1[[#This Row],[Quantity]]*Table1[[#This Row],[Unit_Price]]</f>
        <v>5360</v>
      </c>
      <c r="O291">
        <f>(Table1[[#This Row],[Unit_Price]]-Table1[[#This Row],[Cost_Price]])*Table1[[#This Row],[Quantity]]</f>
        <v>2960</v>
      </c>
      <c r="P291">
        <f t="shared" si="4"/>
        <v>5360</v>
      </c>
      <c r="Q291" t="str">
        <f>TEXT(Table1[[#This Row],[Order_Date]],"mmm-yyyy")</f>
        <v>Oct-2024</v>
      </c>
    </row>
    <row r="292" spans="1:17" x14ac:dyDescent="0.35">
      <c r="A292" t="s">
        <v>532</v>
      </c>
      <c r="B292" t="s">
        <v>447</v>
      </c>
      <c r="C292" t="s">
        <v>45</v>
      </c>
      <c r="D292" t="s">
        <v>26</v>
      </c>
      <c r="E292" t="s">
        <v>33</v>
      </c>
      <c r="F292" t="s">
        <v>13</v>
      </c>
      <c r="G292">
        <v>10</v>
      </c>
      <c r="H292">
        <v>1084</v>
      </c>
      <c r="I292" t="str">
        <f>VLOOKUP(D292,Product_Master!A:D,2,FALSE)</f>
        <v>Laptop</v>
      </c>
      <c r="J292" t="str">
        <f>VLOOKUP(D292,Product_Master!A:D,3,FALSE)</f>
        <v>Electronics</v>
      </c>
      <c r="K292">
        <f>VLOOKUP(D292,Product_Master!A:D,4,FALSE)</f>
        <v>900</v>
      </c>
      <c r="L292" t="str">
        <f>VLOOKUP(C292,Customer_Master!A:C,2,FALSE)</f>
        <v>TCS</v>
      </c>
      <c r="M292" t="str">
        <f>VLOOKUP(C292,Customer_Master!A:C,3,FALSE)</f>
        <v>Corporate</v>
      </c>
      <c r="N292">
        <f>Table1[[#This Row],[Quantity]]*Table1[[#This Row],[Unit_Price]]</f>
        <v>10840</v>
      </c>
      <c r="O292">
        <f>(Table1[[#This Row],[Unit_Price]]-Table1[[#This Row],[Cost_Price]])*Table1[[#This Row],[Quantity]]</f>
        <v>1840</v>
      </c>
      <c r="P292">
        <f t="shared" si="4"/>
        <v>10840</v>
      </c>
      <c r="Q292" t="str">
        <f>TEXT(Table1[[#This Row],[Order_Date]],"mmm-yyyy")</f>
        <v>Nov-2024</v>
      </c>
    </row>
    <row r="293" spans="1:17" x14ac:dyDescent="0.35">
      <c r="A293" t="s">
        <v>533</v>
      </c>
      <c r="B293" t="s">
        <v>149</v>
      </c>
      <c r="C293" t="s">
        <v>10</v>
      </c>
      <c r="D293" t="s">
        <v>16</v>
      </c>
      <c r="E293" t="s">
        <v>27</v>
      </c>
      <c r="F293" t="s">
        <v>13</v>
      </c>
      <c r="G293">
        <v>4</v>
      </c>
      <c r="H293">
        <v>1421</v>
      </c>
      <c r="I293" t="str">
        <f>VLOOKUP(D293,Product_Master!A:D,2,FALSE)</f>
        <v>Printer</v>
      </c>
      <c r="J293" t="str">
        <f>VLOOKUP(D293,Product_Master!A:D,3,FALSE)</f>
        <v>Electronics</v>
      </c>
      <c r="K293">
        <f>VLOOKUP(D293,Product_Master!A:D,4,FALSE)</f>
        <v>1100</v>
      </c>
      <c r="L293" t="str">
        <f>VLOOKUP(C293,Customer_Master!A:C,2,FALSE)</f>
        <v>Suresh</v>
      </c>
      <c r="M293" t="str">
        <f>VLOOKUP(C293,Customer_Master!A:C,3,FALSE)</f>
        <v>Consumer</v>
      </c>
      <c r="N293">
        <f>Table1[[#This Row],[Quantity]]*Table1[[#This Row],[Unit_Price]]</f>
        <v>5684</v>
      </c>
      <c r="O293">
        <f>(Table1[[#This Row],[Unit_Price]]-Table1[[#This Row],[Cost_Price]])*Table1[[#This Row],[Quantity]]</f>
        <v>1284</v>
      </c>
      <c r="P293">
        <f t="shared" si="4"/>
        <v>5684</v>
      </c>
      <c r="Q293" t="str">
        <f>TEXT(Table1[[#This Row],[Order_Date]],"mmm-yyyy")</f>
        <v>Jan-2024</v>
      </c>
    </row>
    <row r="294" spans="1:17" x14ac:dyDescent="0.35">
      <c r="A294" t="s">
        <v>534</v>
      </c>
      <c r="B294" t="s">
        <v>130</v>
      </c>
      <c r="C294" t="s">
        <v>30</v>
      </c>
      <c r="D294" t="s">
        <v>37</v>
      </c>
      <c r="E294" t="s">
        <v>27</v>
      </c>
      <c r="F294" t="s">
        <v>23</v>
      </c>
      <c r="G294">
        <v>3</v>
      </c>
      <c r="H294">
        <v>1563</v>
      </c>
      <c r="I294" t="str">
        <f>VLOOKUP(D294,Product_Master!A:D,2,FALSE)</f>
        <v>Mobile</v>
      </c>
      <c r="J294" t="str">
        <f>VLOOKUP(D294,Product_Master!A:D,3,FALSE)</f>
        <v>Electronics</v>
      </c>
      <c r="K294">
        <f>VLOOKUP(D294,Product_Master!A:D,4,FALSE)</f>
        <v>600</v>
      </c>
      <c r="L294" t="str">
        <f>VLOOKUP(C294,Customer_Master!A:C,2,FALSE)</f>
        <v>Infosys</v>
      </c>
      <c r="M294" t="str">
        <f>VLOOKUP(C294,Customer_Master!A:C,3,FALSE)</f>
        <v>Corporate</v>
      </c>
      <c r="N294">
        <f>Table1[[#This Row],[Quantity]]*Table1[[#This Row],[Unit_Price]]</f>
        <v>4689</v>
      </c>
      <c r="O294">
        <f>(Table1[[#This Row],[Unit_Price]]-Table1[[#This Row],[Cost_Price]])*Table1[[#This Row],[Quantity]]</f>
        <v>2889</v>
      </c>
      <c r="P294">
        <f t="shared" si="4"/>
        <v>4689</v>
      </c>
      <c r="Q294" t="str">
        <f>TEXT(Table1[[#This Row],[Order_Date]],"mmm-yyyy")</f>
        <v>May-2024</v>
      </c>
    </row>
    <row r="295" spans="1:17" x14ac:dyDescent="0.35">
      <c r="A295" t="s">
        <v>535</v>
      </c>
      <c r="B295" t="s">
        <v>88</v>
      </c>
      <c r="C295" t="s">
        <v>42</v>
      </c>
      <c r="D295" t="s">
        <v>11</v>
      </c>
      <c r="E295" t="s">
        <v>12</v>
      </c>
      <c r="F295" t="s">
        <v>34</v>
      </c>
      <c r="G295">
        <v>1</v>
      </c>
      <c r="H295">
        <v>1063</v>
      </c>
      <c r="I295" t="str">
        <f>VLOOKUP(D295,Product_Master!A:D,2,FALSE)</f>
        <v>Chair</v>
      </c>
      <c r="J295" t="str">
        <f>VLOOKUP(D295,Product_Master!A:D,3,FALSE)</f>
        <v>Furniture</v>
      </c>
      <c r="K295">
        <f>VLOOKUP(D295,Product_Master!A:D,4,FALSE)</f>
        <v>150</v>
      </c>
      <c r="L295" t="str">
        <f>VLOOKUP(C295,Customer_Master!A:C,2,FALSE)</f>
        <v>Ramesh</v>
      </c>
      <c r="M295" t="str">
        <f>VLOOKUP(C295,Customer_Master!A:C,3,FALSE)</f>
        <v>Consumer</v>
      </c>
      <c r="N295">
        <f>Table1[[#This Row],[Quantity]]*Table1[[#This Row],[Unit_Price]]</f>
        <v>1063</v>
      </c>
      <c r="O295">
        <f>(Table1[[#This Row],[Unit_Price]]-Table1[[#This Row],[Cost_Price]])*Table1[[#This Row],[Quantity]]</f>
        <v>913</v>
      </c>
      <c r="P295">
        <f t="shared" si="4"/>
        <v>1063</v>
      </c>
      <c r="Q295" t="str">
        <f>TEXT(Table1[[#This Row],[Order_Date]],"mmm-yyyy")</f>
        <v>Jul-2024</v>
      </c>
    </row>
    <row r="296" spans="1:17" x14ac:dyDescent="0.35">
      <c r="A296" t="s">
        <v>536</v>
      </c>
      <c r="B296" t="s">
        <v>121</v>
      </c>
      <c r="C296" t="s">
        <v>42</v>
      </c>
      <c r="D296" t="s">
        <v>22</v>
      </c>
      <c r="E296" t="s">
        <v>33</v>
      </c>
      <c r="F296" t="s">
        <v>18</v>
      </c>
      <c r="G296">
        <v>9</v>
      </c>
      <c r="H296">
        <v>1878</v>
      </c>
      <c r="I296" t="str">
        <f>VLOOKUP(D296,Product_Master!A:D,2,FALSE)</f>
        <v>Desk</v>
      </c>
      <c r="J296" t="str">
        <f>VLOOKUP(D296,Product_Master!A:D,3,FALSE)</f>
        <v>Furniture</v>
      </c>
      <c r="K296">
        <f>VLOOKUP(D296,Product_Master!A:D,4,FALSE)</f>
        <v>300</v>
      </c>
      <c r="L296" t="str">
        <f>VLOOKUP(C296,Customer_Master!A:C,2,FALSE)</f>
        <v>Ramesh</v>
      </c>
      <c r="M296" t="str">
        <f>VLOOKUP(C296,Customer_Master!A:C,3,FALSE)</f>
        <v>Consumer</v>
      </c>
      <c r="N296">
        <f>Table1[[#This Row],[Quantity]]*Table1[[#This Row],[Unit_Price]]</f>
        <v>16902</v>
      </c>
      <c r="O296">
        <f>(Table1[[#This Row],[Unit_Price]]-Table1[[#This Row],[Cost_Price]])*Table1[[#This Row],[Quantity]]</f>
        <v>14202</v>
      </c>
      <c r="P296">
        <f t="shared" si="4"/>
        <v>16902</v>
      </c>
      <c r="Q296" t="str">
        <f>TEXT(Table1[[#This Row],[Order_Date]],"mmm-yyyy")</f>
        <v>Nov-2024</v>
      </c>
    </row>
    <row r="297" spans="1:17" x14ac:dyDescent="0.35">
      <c r="A297" t="s">
        <v>537</v>
      </c>
      <c r="B297" t="s">
        <v>538</v>
      </c>
      <c r="C297" t="s">
        <v>21</v>
      </c>
      <c r="D297" t="s">
        <v>26</v>
      </c>
      <c r="E297" t="s">
        <v>17</v>
      </c>
      <c r="F297" t="s">
        <v>34</v>
      </c>
      <c r="G297">
        <v>8</v>
      </c>
      <c r="H297">
        <v>1927</v>
      </c>
      <c r="I297" t="str">
        <f>VLOOKUP(D297,Product_Master!A:D,2,FALSE)</f>
        <v>Laptop</v>
      </c>
      <c r="J297" t="str">
        <f>VLOOKUP(D297,Product_Master!A:D,3,FALSE)</f>
        <v>Electronics</v>
      </c>
      <c r="K297">
        <f>VLOOKUP(D297,Product_Master!A:D,4,FALSE)</f>
        <v>900</v>
      </c>
      <c r="L297" t="str">
        <f>VLOOKUP(C297,Customer_Master!A:C,2,FALSE)</f>
        <v>Reliance</v>
      </c>
      <c r="M297" t="str">
        <f>VLOOKUP(C297,Customer_Master!A:C,3,FALSE)</f>
        <v>Corporate</v>
      </c>
      <c r="N297">
        <f>Table1[[#This Row],[Quantity]]*Table1[[#This Row],[Unit_Price]]</f>
        <v>15416</v>
      </c>
      <c r="O297">
        <f>(Table1[[#This Row],[Unit_Price]]-Table1[[#This Row],[Cost_Price]])*Table1[[#This Row],[Quantity]]</f>
        <v>8216</v>
      </c>
      <c r="P297">
        <f t="shared" si="4"/>
        <v>15416</v>
      </c>
      <c r="Q297" t="str">
        <f>TEXT(Table1[[#This Row],[Order_Date]],"mmm-yyyy")</f>
        <v>Feb-2024</v>
      </c>
    </row>
    <row r="298" spans="1:17" x14ac:dyDescent="0.35">
      <c r="A298" t="s">
        <v>539</v>
      </c>
      <c r="B298" t="s">
        <v>107</v>
      </c>
      <c r="C298" t="s">
        <v>10</v>
      </c>
      <c r="D298" t="s">
        <v>26</v>
      </c>
      <c r="E298" t="s">
        <v>12</v>
      </c>
      <c r="F298" t="s">
        <v>13</v>
      </c>
      <c r="G298">
        <v>2</v>
      </c>
      <c r="H298">
        <v>1468</v>
      </c>
      <c r="I298" t="str">
        <f>VLOOKUP(D298,Product_Master!A:D,2,FALSE)</f>
        <v>Laptop</v>
      </c>
      <c r="J298" t="str">
        <f>VLOOKUP(D298,Product_Master!A:D,3,FALSE)</f>
        <v>Electronics</v>
      </c>
      <c r="K298">
        <f>VLOOKUP(D298,Product_Master!A:D,4,FALSE)</f>
        <v>900</v>
      </c>
      <c r="L298" t="str">
        <f>VLOOKUP(C298,Customer_Master!A:C,2,FALSE)</f>
        <v>Suresh</v>
      </c>
      <c r="M298" t="str">
        <f>VLOOKUP(C298,Customer_Master!A:C,3,FALSE)</f>
        <v>Consumer</v>
      </c>
      <c r="N298">
        <f>Table1[[#This Row],[Quantity]]*Table1[[#This Row],[Unit_Price]]</f>
        <v>2936</v>
      </c>
      <c r="O298">
        <f>(Table1[[#This Row],[Unit_Price]]-Table1[[#This Row],[Cost_Price]])*Table1[[#This Row],[Quantity]]</f>
        <v>1136</v>
      </c>
      <c r="P298">
        <f t="shared" si="4"/>
        <v>2936</v>
      </c>
      <c r="Q298" t="str">
        <f>TEXT(Table1[[#This Row],[Order_Date]],"mmm-yyyy")</f>
        <v>Jul-2024</v>
      </c>
    </row>
    <row r="299" spans="1:17" x14ac:dyDescent="0.35">
      <c r="A299" t="s">
        <v>540</v>
      </c>
      <c r="B299" t="s">
        <v>541</v>
      </c>
      <c r="C299" t="s">
        <v>30</v>
      </c>
      <c r="D299" t="s">
        <v>37</v>
      </c>
      <c r="E299" t="s">
        <v>12</v>
      </c>
      <c r="F299" t="s">
        <v>23</v>
      </c>
      <c r="G299">
        <v>3</v>
      </c>
      <c r="H299">
        <v>925</v>
      </c>
      <c r="I299" t="str">
        <f>VLOOKUP(D299,Product_Master!A:D,2,FALSE)</f>
        <v>Mobile</v>
      </c>
      <c r="J299" t="str">
        <f>VLOOKUP(D299,Product_Master!A:D,3,FALSE)</f>
        <v>Electronics</v>
      </c>
      <c r="K299">
        <f>VLOOKUP(D299,Product_Master!A:D,4,FALSE)</f>
        <v>600</v>
      </c>
      <c r="L299" t="str">
        <f>VLOOKUP(C299,Customer_Master!A:C,2,FALSE)</f>
        <v>Infosys</v>
      </c>
      <c r="M299" t="str">
        <f>VLOOKUP(C299,Customer_Master!A:C,3,FALSE)</f>
        <v>Corporate</v>
      </c>
      <c r="N299">
        <f>Table1[[#This Row],[Quantity]]*Table1[[#This Row],[Unit_Price]]</f>
        <v>2775</v>
      </c>
      <c r="O299">
        <f>(Table1[[#This Row],[Unit_Price]]-Table1[[#This Row],[Cost_Price]])*Table1[[#This Row],[Quantity]]</f>
        <v>975</v>
      </c>
      <c r="P299">
        <f t="shared" si="4"/>
        <v>2775</v>
      </c>
      <c r="Q299" t="str">
        <f>TEXT(Table1[[#This Row],[Order_Date]],"mmm-yyyy")</f>
        <v>Jun-2024</v>
      </c>
    </row>
    <row r="300" spans="1:17" x14ac:dyDescent="0.35">
      <c r="A300" t="s">
        <v>542</v>
      </c>
      <c r="B300" t="s">
        <v>524</v>
      </c>
      <c r="C300" t="s">
        <v>21</v>
      </c>
      <c r="D300" t="s">
        <v>11</v>
      </c>
      <c r="E300" t="s">
        <v>17</v>
      </c>
      <c r="F300" t="s">
        <v>13</v>
      </c>
      <c r="G300">
        <v>2</v>
      </c>
      <c r="H300">
        <v>1035</v>
      </c>
      <c r="I300" t="str">
        <f>VLOOKUP(D300,Product_Master!A:D,2,FALSE)</f>
        <v>Chair</v>
      </c>
      <c r="J300" t="str">
        <f>VLOOKUP(D300,Product_Master!A:D,3,FALSE)</f>
        <v>Furniture</v>
      </c>
      <c r="K300">
        <f>VLOOKUP(D300,Product_Master!A:D,4,FALSE)</f>
        <v>150</v>
      </c>
      <c r="L300" t="str">
        <f>VLOOKUP(C300,Customer_Master!A:C,2,FALSE)</f>
        <v>Reliance</v>
      </c>
      <c r="M300" t="str">
        <f>VLOOKUP(C300,Customer_Master!A:C,3,FALSE)</f>
        <v>Corporate</v>
      </c>
      <c r="N300">
        <f>Table1[[#This Row],[Quantity]]*Table1[[#This Row],[Unit_Price]]</f>
        <v>2070</v>
      </c>
      <c r="O300">
        <f>(Table1[[#This Row],[Unit_Price]]-Table1[[#This Row],[Cost_Price]])*Table1[[#This Row],[Quantity]]</f>
        <v>1770</v>
      </c>
      <c r="P300">
        <f t="shared" si="4"/>
        <v>2070</v>
      </c>
      <c r="Q300" t="str">
        <f>TEXT(Table1[[#This Row],[Order_Date]],"mmm-yyyy")</f>
        <v>Oct-2024</v>
      </c>
    </row>
    <row r="301" spans="1:17" x14ac:dyDescent="0.35">
      <c r="A301" t="s">
        <v>543</v>
      </c>
      <c r="B301" t="s">
        <v>472</v>
      </c>
      <c r="C301" t="s">
        <v>10</v>
      </c>
      <c r="D301" t="s">
        <v>26</v>
      </c>
      <c r="E301" t="s">
        <v>27</v>
      </c>
      <c r="F301" t="s">
        <v>18</v>
      </c>
      <c r="G301">
        <v>10</v>
      </c>
      <c r="H301">
        <v>886</v>
      </c>
      <c r="I301" t="str">
        <f>VLOOKUP(D301,Product_Master!A:D,2,FALSE)</f>
        <v>Laptop</v>
      </c>
      <c r="J301" t="str">
        <f>VLOOKUP(D301,Product_Master!A:D,3,FALSE)</f>
        <v>Electronics</v>
      </c>
      <c r="K301">
        <f>VLOOKUP(D301,Product_Master!A:D,4,FALSE)</f>
        <v>900</v>
      </c>
      <c r="L301" t="str">
        <f>VLOOKUP(C301,Customer_Master!A:C,2,FALSE)</f>
        <v>Suresh</v>
      </c>
      <c r="M301" t="str">
        <f>VLOOKUP(C301,Customer_Master!A:C,3,FALSE)</f>
        <v>Consumer</v>
      </c>
      <c r="N301">
        <f>Table1[[#This Row],[Quantity]]*Table1[[#This Row],[Unit_Price]]</f>
        <v>8860</v>
      </c>
      <c r="O301">
        <f>(Table1[[#This Row],[Unit_Price]]-Table1[[#This Row],[Cost_Price]])*Table1[[#This Row],[Quantity]]</f>
        <v>-140</v>
      </c>
      <c r="P301">
        <f t="shared" si="4"/>
        <v>8860</v>
      </c>
      <c r="Q301" t="str">
        <f>TEXT(Table1[[#This Row],[Order_Date]],"mmm-yyyy")</f>
        <v>May-2024</v>
      </c>
    </row>
    <row r="302" spans="1:17" x14ac:dyDescent="0.35">
      <c r="A302" t="s">
        <v>544</v>
      </c>
      <c r="B302" t="s">
        <v>271</v>
      </c>
      <c r="C302" t="s">
        <v>42</v>
      </c>
      <c r="D302" t="s">
        <v>11</v>
      </c>
      <c r="E302" t="s">
        <v>12</v>
      </c>
      <c r="F302" t="s">
        <v>18</v>
      </c>
      <c r="G302">
        <v>5</v>
      </c>
      <c r="H302">
        <v>1376</v>
      </c>
      <c r="I302" t="str">
        <f>VLOOKUP(D302,Product_Master!A:D,2,FALSE)</f>
        <v>Chair</v>
      </c>
      <c r="J302" t="str">
        <f>VLOOKUP(D302,Product_Master!A:D,3,FALSE)</f>
        <v>Furniture</v>
      </c>
      <c r="K302">
        <f>VLOOKUP(D302,Product_Master!A:D,4,FALSE)</f>
        <v>150</v>
      </c>
      <c r="L302" t="str">
        <f>VLOOKUP(C302,Customer_Master!A:C,2,FALSE)</f>
        <v>Ramesh</v>
      </c>
      <c r="M302" t="str">
        <f>VLOOKUP(C302,Customer_Master!A:C,3,FALSE)</f>
        <v>Consumer</v>
      </c>
      <c r="N302">
        <f>Table1[[#This Row],[Quantity]]*Table1[[#This Row],[Unit_Price]]</f>
        <v>6880</v>
      </c>
      <c r="O302">
        <f>(Table1[[#This Row],[Unit_Price]]-Table1[[#This Row],[Cost_Price]])*Table1[[#This Row],[Quantity]]</f>
        <v>6130</v>
      </c>
      <c r="P302">
        <f t="shared" si="4"/>
        <v>6880</v>
      </c>
      <c r="Q302" t="str">
        <f>TEXT(Table1[[#This Row],[Order_Date]],"mmm-yyyy")</f>
        <v>Sep-2024</v>
      </c>
    </row>
    <row r="303" spans="1:17" x14ac:dyDescent="0.35">
      <c r="A303" t="s">
        <v>545</v>
      </c>
      <c r="B303" t="s">
        <v>421</v>
      </c>
      <c r="C303" t="s">
        <v>30</v>
      </c>
      <c r="D303" t="s">
        <v>26</v>
      </c>
      <c r="E303" t="s">
        <v>27</v>
      </c>
      <c r="F303" t="s">
        <v>23</v>
      </c>
      <c r="G303">
        <v>7</v>
      </c>
      <c r="H303">
        <v>980</v>
      </c>
      <c r="I303" t="str">
        <f>VLOOKUP(D303,Product_Master!A:D,2,FALSE)</f>
        <v>Laptop</v>
      </c>
      <c r="J303" t="str">
        <f>VLOOKUP(D303,Product_Master!A:D,3,FALSE)</f>
        <v>Electronics</v>
      </c>
      <c r="K303">
        <f>VLOOKUP(D303,Product_Master!A:D,4,FALSE)</f>
        <v>900</v>
      </c>
      <c r="L303" t="str">
        <f>VLOOKUP(C303,Customer_Master!A:C,2,FALSE)</f>
        <v>Infosys</v>
      </c>
      <c r="M303" t="str">
        <f>VLOOKUP(C303,Customer_Master!A:C,3,FALSE)</f>
        <v>Corporate</v>
      </c>
      <c r="N303">
        <f>Table1[[#This Row],[Quantity]]*Table1[[#This Row],[Unit_Price]]</f>
        <v>6860</v>
      </c>
      <c r="O303">
        <f>(Table1[[#This Row],[Unit_Price]]-Table1[[#This Row],[Cost_Price]])*Table1[[#This Row],[Quantity]]</f>
        <v>560</v>
      </c>
      <c r="P303">
        <f t="shared" si="4"/>
        <v>6860</v>
      </c>
      <c r="Q303" t="str">
        <f>TEXT(Table1[[#This Row],[Order_Date]],"mmm-yyyy")</f>
        <v>Jul-2024</v>
      </c>
    </row>
    <row r="304" spans="1:17" x14ac:dyDescent="0.35">
      <c r="A304" t="s">
        <v>546</v>
      </c>
      <c r="B304" t="s">
        <v>305</v>
      </c>
      <c r="C304" t="s">
        <v>10</v>
      </c>
      <c r="D304" t="s">
        <v>37</v>
      </c>
      <c r="E304" t="s">
        <v>12</v>
      </c>
      <c r="F304" t="s">
        <v>18</v>
      </c>
      <c r="G304">
        <v>5</v>
      </c>
      <c r="H304">
        <v>895</v>
      </c>
      <c r="I304" t="str">
        <f>VLOOKUP(D304,Product_Master!A:D,2,FALSE)</f>
        <v>Mobile</v>
      </c>
      <c r="J304" t="str">
        <f>VLOOKUP(D304,Product_Master!A:D,3,FALSE)</f>
        <v>Electronics</v>
      </c>
      <c r="K304">
        <f>VLOOKUP(D304,Product_Master!A:D,4,FALSE)</f>
        <v>600</v>
      </c>
      <c r="L304" t="str">
        <f>VLOOKUP(C304,Customer_Master!A:C,2,FALSE)</f>
        <v>Suresh</v>
      </c>
      <c r="M304" t="str">
        <f>VLOOKUP(C304,Customer_Master!A:C,3,FALSE)</f>
        <v>Consumer</v>
      </c>
      <c r="N304">
        <f>Table1[[#This Row],[Quantity]]*Table1[[#This Row],[Unit_Price]]</f>
        <v>4475</v>
      </c>
      <c r="O304">
        <f>(Table1[[#This Row],[Unit_Price]]-Table1[[#This Row],[Cost_Price]])*Table1[[#This Row],[Quantity]]</f>
        <v>1475</v>
      </c>
      <c r="P304">
        <f t="shared" si="4"/>
        <v>4475</v>
      </c>
      <c r="Q304" t="str">
        <f>TEXT(Table1[[#This Row],[Order_Date]],"mmm-yyyy")</f>
        <v>Nov-2024</v>
      </c>
    </row>
    <row r="305" spans="1:17" x14ac:dyDescent="0.35">
      <c r="A305" t="s">
        <v>547</v>
      </c>
      <c r="B305" t="s">
        <v>346</v>
      </c>
      <c r="C305" t="s">
        <v>30</v>
      </c>
      <c r="D305" t="s">
        <v>37</v>
      </c>
      <c r="E305" t="s">
        <v>33</v>
      </c>
      <c r="F305" t="s">
        <v>13</v>
      </c>
      <c r="G305">
        <v>7</v>
      </c>
      <c r="H305">
        <v>1045</v>
      </c>
      <c r="I305" t="str">
        <f>VLOOKUP(D305,Product_Master!A:D,2,FALSE)</f>
        <v>Mobile</v>
      </c>
      <c r="J305" t="str">
        <f>VLOOKUP(D305,Product_Master!A:D,3,FALSE)</f>
        <v>Electronics</v>
      </c>
      <c r="K305">
        <f>VLOOKUP(D305,Product_Master!A:D,4,FALSE)</f>
        <v>600</v>
      </c>
      <c r="L305" t="str">
        <f>VLOOKUP(C305,Customer_Master!A:C,2,FALSE)</f>
        <v>Infosys</v>
      </c>
      <c r="M305" t="str">
        <f>VLOOKUP(C305,Customer_Master!A:C,3,FALSE)</f>
        <v>Corporate</v>
      </c>
      <c r="N305">
        <f>Table1[[#This Row],[Quantity]]*Table1[[#This Row],[Unit_Price]]</f>
        <v>7315</v>
      </c>
      <c r="O305">
        <f>(Table1[[#This Row],[Unit_Price]]-Table1[[#This Row],[Cost_Price]])*Table1[[#This Row],[Quantity]]</f>
        <v>3115</v>
      </c>
      <c r="P305">
        <f t="shared" si="4"/>
        <v>7315</v>
      </c>
      <c r="Q305" t="str">
        <f>TEXT(Table1[[#This Row],[Order_Date]],"mmm-yyyy")</f>
        <v>Mar-2024</v>
      </c>
    </row>
    <row r="306" spans="1:17" x14ac:dyDescent="0.35">
      <c r="A306" t="s">
        <v>548</v>
      </c>
      <c r="B306" t="s">
        <v>36</v>
      </c>
      <c r="C306" t="s">
        <v>42</v>
      </c>
      <c r="D306" t="s">
        <v>26</v>
      </c>
      <c r="E306" t="s">
        <v>17</v>
      </c>
      <c r="F306" t="s">
        <v>18</v>
      </c>
      <c r="G306">
        <v>4</v>
      </c>
      <c r="H306">
        <v>1975</v>
      </c>
      <c r="I306" t="str">
        <f>VLOOKUP(D306,Product_Master!A:D,2,FALSE)</f>
        <v>Laptop</v>
      </c>
      <c r="J306" t="str">
        <f>VLOOKUP(D306,Product_Master!A:D,3,FALSE)</f>
        <v>Electronics</v>
      </c>
      <c r="K306">
        <f>VLOOKUP(D306,Product_Master!A:D,4,FALSE)</f>
        <v>900</v>
      </c>
      <c r="L306" t="str">
        <f>VLOOKUP(C306,Customer_Master!A:C,2,FALSE)</f>
        <v>Ramesh</v>
      </c>
      <c r="M306" t="str">
        <f>VLOOKUP(C306,Customer_Master!A:C,3,FALSE)</f>
        <v>Consumer</v>
      </c>
      <c r="N306">
        <f>Table1[[#This Row],[Quantity]]*Table1[[#This Row],[Unit_Price]]</f>
        <v>7900</v>
      </c>
      <c r="O306">
        <f>(Table1[[#This Row],[Unit_Price]]-Table1[[#This Row],[Cost_Price]])*Table1[[#This Row],[Quantity]]</f>
        <v>4300</v>
      </c>
      <c r="P306">
        <f t="shared" si="4"/>
        <v>7900</v>
      </c>
      <c r="Q306" t="str">
        <f>TEXT(Table1[[#This Row],[Order_Date]],"mmm-yyyy")</f>
        <v>Nov-2024</v>
      </c>
    </row>
    <row r="307" spans="1:17" x14ac:dyDescent="0.35">
      <c r="A307" t="s">
        <v>549</v>
      </c>
      <c r="B307" t="s">
        <v>111</v>
      </c>
      <c r="C307" t="s">
        <v>21</v>
      </c>
      <c r="D307" t="s">
        <v>11</v>
      </c>
      <c r="E307" t="s">
        <v>17</v>
      </c>
      <c r="F307" t="s">
        <v>34</v>
      </c>
      <c r="G307">
        <v>4</v>
      </c>
      <c r="H307">
        <v>1757</v>
      </c>
      <c r="I307" t="str">
        <f>VLOOKUP(D307,Product_Master!A:D,2,FALSE)</f>
        <v>Chair</v>
      </c>
      <c r="J307" t="str">
        <f>VLOOKUP(D307,Product_Master!A:D,3,FALSE)</f>
        <v>Furniture</v>
      </c>
      <c r="K307">
        <f>VLOOKUP(D307,Product_Master!A:D,4,FALSE)</f>
        <v>150</v>
      </c>
      <c r="L307" t="str">
        <f>VLOOKUP(C307,Customer_Master!A:C,2,FALSE)</f>
        <v>Reliance</v>
      </c>
      <c r="M307" t="str">
        <f>VLOOKUP(C307,Customer_Master!A:C,3,FALSE)</f>
        <v>Corporate</v>
      </c>
      <c r="N307">
        <f>Table1[[#This Row],[Quantity]]*Table1[[#This Row],[Unit_Price]]</f>
        <v>7028</v>
      </c>
      <c r="O307">
        <f>(Table1[[#This Row],[Unit_Price]]-Table1[[#This Row],[Cost_Price]])*Table1[[#This Row],[Quantity]]</f>
        <v>6428</v>
      </c>
      <c r="P307">
        <f t="shared" si="4"/>
        <v>7028</v>
      </c>
      <c r="Q307" t="str">
        <f>TEXT(Table1[[#This Row],[Order_Date]],"mmm-yyyy")</f>
        <v>Oct-2024</v>
      </c>
    </row>
    <row r="308" spans="1:17" x14ac:dyDescent="0.35">
      <c r="A308" t="s">
        <v>550</v>
      </c>
      <c r="B308" t="s">
        <v>470</v>
      </c>
      <c r="C308" t="s">
        <v>45</v>
      </c>
      <c r="D308" t="s">
        <v>22</v>
      </c>
      <c r="E308" t="s">
        <v>17</v>
      </c>
      <c r="F308" t="s">
        <v>18</v>
      </c>
      <c r="G308">
        <v>1</v>
      </c>
      <c r="H308">
        <v>801</v>
      </c>
      <c r="I308" t="str">
        <f>VLOOKUP(D308,Product_Master!A:D,2,FALSE)</f>
        <v>Desk</v>
      </c>
      <c r="J308" t="str">
        <f>VLOOKUP(D308,Product_Master!A:D,3,FALSE)</f>
        <v>Furniture</v>
      </c>
      <c r="K308">
        <f>VLOOKUP(D308,Product_Master!A:D,4,FALSE)</f>
        <v>300</v>
      </c>
      <c r="L308" t="str">
        <f>VLOOKUP(C308,Customer_Master!A:C,2,FALSE)</f>
        <v>TCS</v>
      </c>
      <c r="M308" t="str">
        <f>VLOOKUP(C308,Customer_Master!A:C,3,FALSE)</f>
        <v>Corporate</v>
      </c>
      <c r="N308">
        <f>Table1[[#This Row],[Quantity]]*Table1[[#This Row],[Unit_Price]]</f>
        <v>801</v>
      </c>
      <c r="O308">
        <f>(Table1[[#This Row],[Unit_Price]]-Table1[[#This Row],[Cost_Price]])*Table1[[#This Row],[Quantity]]</f>
        <v>501</v>
      </c>
      <c r="P308">
        <f t="shared" si="4"/>
        <v>801</v>
      </c>
      <c r="Q308" t="str">
        <f>TEXT(Table1[[#This Row],[Order_Date]],"mmm-yyyy")</f>
        <v>Nov-2024</v>
      </c>
    </row>
    <row r="309" spans="1:17" x14ac:dyDescent="0.35">
      <c r="A309" t="s">
        <v>551</v>
      </c>
      <c r="B309" t="s">
        <v>552</v>
      </c>
      <c r="C309" t="s">
        <v>45</v>
      </c>
      <c r="D309" t="s">
        <v>37</v>
      </c>
      <c r="E309" t="s">
        <v>33</v>
      </c>
      <c r="F309" t="s">
        <v>34</v>
      </c>
      <c r="G309">
        <v>7</v>
      </c>
      <c r="H309">
        <v>1791</v>
      </c>
      <c r="I309" t="str">
        <f>VLOOKUP(D309,Product_Master!A:D,2,FALSE)</f>
        <v>Mobile</v>
      </c>
      <c r="J309" t="str">
        <f>VLOOKUP(D309,Product_Master!A:D,3,FALSE)</f>
        <v>Electronics</v>
      </c>
      <c r="K309">
        <f>VLOOKUP(D309,Product_Master!A:D,4,FALSE)</f>
        <v>600</v>
      </c>
      <c r="L309" t="str">
        <f>VLOOKUP(C309,Customer_Master!A:C,2,FALSE)</f>
        <v>TCS</v>
      </c>
      <c r="M309" t="str">
        <f>VLOOKUP(C309,Customer_Master!A:C,3,FALSE)</f>
        <v>Corporate</v>
      </c>
      <c r="N309">
        <f>Table1[[#This Row],[Quantity]]*Table1[[#This Row],[Unit_Price]]</f>
        <v>12537</v>
      </c>
      <c r="O309">
        <f>(Table1[[#This Row],[Unit_Price]]-Table1[[#This Row],[Cost_Price]])*Table1[[#This Row],[Quantity]]</f>
        <v>8337</v>
      </c>
      <c r="P309">
        <f t="shared" si="4"/>
        <v>12537</v>
      </c>
      <c r="Q309" t="str">
        <f>TEXT(Table1[[#This Row],[Order_Date]],"mmm-yyyy")</f>
        <v>Sep-2024</v>
      </c>
    </row>
    <row r="310" spans="1:17" x14ac:dyDescent="0.35">
      <c r="A310" t="s">
        <v>553</v>
      </c>
      <c r="B310" t="s">
        <v>554</v>
      </c>
      <c r="C310" t="s">
        <v>45</v>
      </c>
      <c r="D310" t="s">
        <v>26</v>
      </c>
      <c r="E310" t="s">
        <v>33</v>
      </c>
      <c r="F310" t="s">
        <v>34</v>
      </c>
      <c r="G310">
        <v>1</v>
      </c>
      <c r="H310">
        <v>1844</v>
      </c>
      <c r="I310" t="str">
        <f>VLOOKUP(D310,Product_Master!A:D,2,FALSE)</f>
        <v>Laptop</v>
      </c>
      <c r="J310" t="str">
        <f>VLOOKUP(D310,Product_Master!A:D,3,FALSE)</f>
        <v>Electronics</v>
      </c>
      <c r="K310">
        <f>VLOOKUP(D310,Product_Master!A:D,4,FALSE)</f>
        <v>900</v>
      </c>
      <c r="L310" t="str">
        <f>VLOOKUP(C310,Customer_Master!A:C,2,FALSE)</f>
        <v>TCS</v>
      </c>
      <c r="M310" t="str">
        <f>VLOOKUP(C310,Customer_Master!A:C,3,FALSE)</f>
        <v>Corporate</v>
      </c>
      <c r="N310">
        <f>Table1[[#This Row],[Quantity]]*Table1[[#This Row],[Unit_Price]]</f>
        <v>1844</v>
      </c>
      <c r="O310">
        <f>(Table1[[#This Row],[Unit_Price]]-Table1[[#This Row],[Cost_Price]])*Table1[[#This Row],[Quantity]]</f>
        <v>944</v>
      </c>
      <c r="P310">
        <f t="shared" si="4"/>
        <v>1844</v>
      </c>
      <c r="Q310" t="str">
        <f>TEXT(Table1[[#This Row],[Order_Date]],"mmm-yyyy")</f>
        <v>Apr-2024</v>
      </c>
    </row>
    <row r="311" spans="1:17" x14ac:dyDescent="0.35">
      <c r="A311" t="s">
        <v>555</v>
      </c>
      <c r="B311" t="s">
        <v>36</v>
      </c>
      <c r="C311" t="s">
        <v>10</v>
      </c>
      <c r="D311" t="s">
        <v>37</v>
      </c>
      <c r="E311" t="s">
        <v>12</v>
      </c>
      <c r="F311" t="s">
        <v>34</v>
      </c>
      <c r="G311">
        <v>10</v>
      </c>
      <c r="H311">
        <v>1845</v>
      </c>
      <c r="I311" t="str">
        <f>VLOOKUP(D311,Product_Master!A:D,2,FALSE)</f>
        <v>Mobile</v>
      </c>
      <c r="J311" t="str">
        <f>VLOOKUP(D311,Product_Master!A:D,3,FALSE)</f>
        <v>Electronics</v>
      </c>
      <c r="K311">
        <f>VLOOKUP(D311,Product_Master!A:D,4,FALSE)</f>
        <v>600</v>
      </c>
      <c r="L311" t="str">
        <f>VLOOKUP(C311,Customer_Master!A:C,2,FALSE)</f>
        <v>Suresh</v>
      </c>
      <c r="M311" t="str">
        <f>VLOOKUP(C311,Customer_Master!A:C,3,FALSE)</f>
        <v>Consumer</v>
      </c>
      <c r="N311">
        <f>Table1[[#This Row],[Quantity]]*Table1[[#This Row],[Unit_Price]]</f>
        <v>18450</v>
      </c>
      <c r="O311">
        <f>(Table1[[#This Row],[Unit_Price]]-Table1[[#This Row],[Cost_Price]])*Table1[[#This Row],[Quantity]]</f>
        <v>12450</v>
      </c>
      <c r="P311">
        <f t="shared" si="4"/>
        <v>18450</v>
      </c>
      <c r="Q311" t="str">
        <f>TEXT(Table1[[#This Row],[Order_Date]],"mmm-yyyy")</f>
        <v>Nov-2024</v>
      </c>
    </row>
    <row r="312" spans="1:17" x14ac:dyDescent="0.35">
      <c r="A312" t="s">
        <v>556</v>
      </c>
      <c r="B312" t="s">
        <v>193</v>
      </c>
      <c r="C312" t="s">
        <v>45</v>
      </c>
      <c r="D312" t="s">
        <v>37</v>
      </c>
      <c r="E312" t="s">
        <v>33</v>
      </c>
      <c r="F312" t="s">
        <v>23</v>
      </c>
      <c r="G312">
        <v>10</v>
      </c>
      <c r="H312">
        <v>889</v>
      </c>
      <c r="I312" t="str">
        <f>VLOOKUP(D312,Product_Master!A:D,2,FALSE)</f>
        <v>Mobile</v>
      </c>
      <c r="J312" t="str">
        <f>VLOOKUP(D312,Product_Master!A:D,3,FALSE)</f>
        <v>Electronics</v>
      </c>
      <c r="K312">
        <f>VLOOKUP(D312,Product_Master!A:D,4,FALSE)</f>
        <v>600</v>
      </c>
      <c r="L312" t="str">
        <f>VLOOKUP(C312,Customer_Master!A:C,2,FALSE)</f>
        <v>TCS</v>
      </c>
      <c r="M312" t="str">
        <f>VLOOKUP(C312,Customer_Master!A:C,3,FALSE)</f>
        <v>Corporate</v>
      </c>
      <c r="N312">
        <f>Table1[[#This Row],[Quantity]]*Table1[[#This Row],[Unit_Price]]</f>
        <v>8890</v>
      </c>
      <c r="O312">
        <f>(Table1[[#This Row],[Unit_Price]]-Table1[[#This Row],[Cost_Price]])*Table1[[#This Row],[Quantity]]</f>
        <v>2890</v>
      </c>
      <c r="P312">
        <f t="shared" si="4"/>
        <v>8890</v>
      </c>
      <c r="Q312" t="str">
        <f>TEXT(Table1[[#This Row],[Order_Date]],"mmm-yyyy")</f>
        <v>Sep-2024</v>
      </c>
    </row>
    <row r="313" spans="1:17" x14ac:dyDescent="0.35">
      <c r="A313" t="s">
        <v>557</v>
      </c>
      <c r="B313" t="s">
        <v>558</v>
      </c>
      <c r="C313" t="s">
        <v>45</v>
      </c>
      <c r="D313" t="s">
        <v>16</v>
      </c>
      <c r="E313" t="s">
        <v>27</v>
      </c>
      <c r="F313" t="s">
        <v>13</v>
      </c>
      <c r="G313">
        <v>7</v>
      </c>
      <c r="H313">
        <v>1203</v>
      </c>
      <c r="I313" t="str">
        <f>VLOOKUP(D313,Product_Master!A:D,2,FALSE)</f>
        <v>Printer</v>
      </c>
      <c r="J313" t="str">
        <f>VLOOKUP(D313,Product_Master!A:D,3,FALSE)</f>
        <v>Electronics</v>
      </c>
      <c r="K313">
        <f>VLOOKUP(D313,Product_Master!A:D,4,FALSE)</f>
        <v>1100</v>
      </c>
      <c r="L313" t="str">
        <f>VLOOKUP(C313,Customer_Master!A:C,2,FALSE)</f>
        <v>TCS</v>
      </c>
      <c r="M313" t="str">
        <f>VLOOKUP(C313,Customer_Master!A:C,3,FALSE)</f>
        <v>Corporate</v>
      </c>
      <c r="N313">
        <f>Table1[[#This Row],[Quantity]]*Table1[[#This Row],[Unit_Price]]</f>
        <v>8421</v>
      </c>
      <c r="O313">
        <f>(Table1[[#This Row],[Unit_Price]]-Table1[[#This Row],[Cost_Price]])*Table1[[#This Row],[Quantity]]</f>
        <v>721</v>
      </c>
      <c r="P313">
        <f t="shared" si="4"/>
        <v>8421</v>
      </c>
      <c r="Q313" t="str">
        <f>TEXT(Table1[[#This Row],[Order_Date]],"mmm-yyyy")</f>
        <v>Jan-2024</v>
      </c>
    </row>
    <row r="314" spans="1:17" x14ac:dyDescent="0.35">
      <c r="A314" t="s">
        <v>559</v>
      </c>
      <c r="B314" t="s">
        <v>217</v>
      </c>
      <c r="C314" t="s">
        <v>45</v>
      </c>
      <c r="D314" t="s">
        <v>37</v>
      </c>
      <c r="E314" t="s">
        <v>12</v>
      </c>
      <c r="F314" t="s">
        <v>34</v>
      </c>
      <c r="G314">
        <v>3</v>
      </c>
      <c r="H314">
        <v>1533</v>
      </c>
      <c r="I314" t="str">
        <f>VLOOKUP(D314,Product_Master!A:D,2,FALSE)</f>
        <v>Mobile</v>
      </c>
      <c r="J314" t="str">
        <f>VLOOKUP(D314,Product_Master!A:D,3,FALSE)</f>
        <v>Electronics</v>
      </c>
      <c r="K314">
        <f>VLOOKUP(D314,Product_Master!A:D,4,FALSE)</f>
        <v>600</v>
      </c>
      <c r="L314" t="str">
        <f>VLOOKUP(C314,Customer_Master!A:C,2,FALSE)</f>
        <v>TCS</v>
      </c>
      <c r="M314" t="str">
        <f>VLOOKUP(C314,Customer_Master!A:C,3,FALSE)</f>
        <v>Corporate</v>
      </c>
      <c r="N314">
        <f>Table1[[#This Row],[Quantity]]*Table1[[#This Row],[Unit_Price]]</f>
        <v>4599</v>
      </c>
      <c r="O314">
        <f>(Table1[[#This Row],[Unit_Price]]-Table1[[#This Row],[Cost_Price]])*Table1[[#This Row],[Quantity]]</f>
        <v>2799</v>
      </c>
      <c r="P314">
        <f t="shared" si="4"/>
        <v>4599</v>
      </c>
      <c r="Q314" t="str">
        <f>TEXT(Table1[[#This Row],[Order_Date]],"mmm-yyyy")</f>
        <v>Nov-2024</v>
      </c>
    </row>
    <row r="315" spans="1:17" x14ac:dyDescent="0.35">
      <c r="A315" t="s">
        <v>560</v>
      </c>
      <c r="B315" t="s">
        <v>561</v>
      </c>
      <c r="C315" t="s">
        <v>42</v>
      </c>
      <c r="D315" t="s">
        <v>11</v>
      </c>
      <c r="E315" t="s">
        <v>12</v>
      </c>
      <c r="F315" t="s">
        <v>23</v>
      </c>
      <c r="G315">
        <v>3</v>
      </c>
      <c r="H315">
        <v>1668</v>
      </c>
      <c r="I315" t="str">
        <f>VLOOKUP(D315,Product_Master!A:D,2,FALSE)</f>
        <v>Chair</v>
      </c>
      <c r="J315" t="str">
        <f>VLOOKUP(D315,Product_Master!A:D,3,FALSE)</f>
        <v>Furniture</v>
      </c>
      <c r="K315">
        <f>VLOOKUP(D315,Product_Master!A:D,4,FALSE)</f>
        <v>150</v>
      </c>
      <c r="L315" t="str">
        <f>VLOOKUP(C315,Customer_Master!A:C,2,FALSE)</f>
        <v>Ramesh</v>
      </c>
      <c r="M315" t="str">
        <f>VLOOKUP(C315,Customer_Master!A:C,3,FALSE)</f>
        <v>Consumer</v>
      </c>
      <c r="N315">
        <f>Table1[[#This Row],[Quantity]]*Table1[[#This Row],[Unit_Price]]</f>
        <v>5004</v>
      </c>
      <c r="O315">
        <f>(Table1[[#This Row],[Unit_Price]]-Table1[[#This Row],[Cost_Price]])*Table1[[#This Row],[Quantity]]</f>
        <v>4554</v>
      </c>
      <c r="P315">
        <f t="shared" si="4"/>
        <v>5004</v>
      </c>
      <c r="Q315" t="str">
        <f>TEXT(Table1[[#This Row],[Order_Date]],"mmm-yyyy")</f>
        <v>Aug-2024</v>
      </c>
    </row>
    <row r="316" spans="1:17" x14ac:dyDescent="0.35">
      <c r="A316" t="s">
        <v>562</v>
      </c>
      <c r="B316" t="s">
        <v>563</v>
      </c>
      <c r="C316" t="s">
        <v>21</v>
      </c>
      <c r="D316" t="s">
        <v>11</v>
      </c>
      <c r="E316" t="s">
        <v>33</v>
      </c>
      <c r="F316" t="s">
        <v>13</v>
      </c>
      <c r="G316">
        <v>9</v>
      </c>
      <c r="H316">
        <v>1157</v>
      </c>
      <c r="I316" t="str">
        <f>VLOOKUP(D316,Product_Master!A:D,2,FALSE)</f>
        <v>Chair</v>
      </c>
      <c r="J316" t="str">
        <f>VLOOKUP(D316,Product_Master!A:D,3,FALSE)</f>
        <v>Furniture</v>
      </c>
      <c r="K316">
        <f>VLOOKUP(D316,Product_Master!A:D,4,FALSE)</f>
        <v>150</v>
      </c>
      <c r="L316" t="str">
        <f>VLOOKUP(C316,Customer_Master!A:C,2,FALSE)</f>
        <v>Reliance</v>
      </c>
      <c r="M316" t="str">
        <f>VLOOKUP(C316,Customer_Master!A:C,3,FALSE)</f>
        <v>Corporate</v>
      </c>
      <c r="N316">
        <f>Table1[[#This Row],[Quantity]]*Table1[[#This Row],[Unit_Price]]</f>
        <v>10413</v>
      </c>
      <c r="O316">
        <f>(Table1[[#This Row],[Unit_Price]]-Table1[[#This Row],[Cost_Price]])*Table1[[#This Row],[Quantity]]</f>
        <v>9063</v>
      </c>
      <c r="P316">
        <f t="shared" si="4"/>
        <v>10413</v>
      </c>
      <c r="Q316" t="str">
        <f>TEXT(Table1[[#This Row],[Order_Date]],"mmm-yyyy")</f>
        <v>Dec-2024</v>
      </c>
    </row>
    <row r="317" spans="1:17" x14ac:dyDescent="0.35">
      <c r="A317" t="s">
        <v>564</v>
      </c>
      <c r="B317" t="s">
        <v>565</v>
      </c>
      <c r="C317" t="s">
        <v>10</v>
      </c>
      <c r="D317" t="s">
        <v>16</v>
      </c>
      <c r="E317" t="s">
        <v>27</v>
      </c>
      <c r="F317" t="s">
        <v>13</v>
      </c>
      <c r="G317">
        <v>8</v>
      </c>
      <c r="H317">
        <v>1551</v>
      </c>
      <c r="I317" t="str">
        <f>VLOOKUP(D317,Product_Master!A:D,2,FALSE)</f>
        <v>Printer</v>
      </c>
      <c r="J317" t="str">
        <f>VLOOKUP(D317,Product_Master!A:D,3,FALSE)</f>
        <v>Electronics</v>
      </c>
      <c r="K317">
        <f>VLOOKUP(D317,Product_Master!A:D,4,FALSE)</f>
        <v>1100</v>
      </c>
      <c r="L317" t="str">
        <f>VLOOKUP(C317,Customer_Master!A:C,2,FALSE)</f>
        <v>Suresh</v>
      </c>
      <c r="M317" t="str">
        <f>VLOOKUP(C317,Customer_Master!A:C,3,FALSE)</f>
        <v>Consumer</v>
      </c>
      <c r="N317">
        <f>Table1[[#This Row],[Quantity]]*Table1[[#This Row],[Unit_Price]]</f>
        <v>12408</v>
      </c>
      <c r="O317">
        <f>(Table1[[#This Row],[Unit_Price]]-Table1[[#This Row],[Cost_Price]])*Table1[[#This Row],[Quantity]]</f>
        <v>3608</v>
      </c>
      <c r="P317">
        <f t="shared" si="4"/>
        <v>12408</v>
      </c>
      <c r="Q317" t="str">
        <f>TEXT(Table1[[#This Row],[Order_Date]],"mmm-yyyy")</f>
        <v>Jun-2024</v>
      </c>
    </row>
    <row r="318" spans="1:17" x14ac:dyDescent="0.35">
      <c r="A318" t="s">
        <v>566</v>
      </c>
      <c r="B318" t="s">
        <v>567</v>
      </c>
      <c r="C318" t="s">
        <v>21</v>
      </c>
      <c r="D318" t="s">
        <v>22</v>
      </c>
      <c r="E318" t="s">
        <v>17</v>
      </c>
      <c r="F318" t="s">
        <v>18</v>
      </c>
      <c r="G318">
        <v>3</v>
      </c>
      <c r="H318">
        <v>966</v>
      </c>
      <c r="I318" t="str">
        <f>VLOOKUP(D318,Product_Master!A:D,2,FALSE)</f>
        <v>Desk</v>
      </c>
      <c r="J318" t="str">
        <f>VLOOKUP(D318,Product_Master!A:D,3,FALSE)</f>
        <v>Furniture</v>
      </c>
      <c r="K318">
        <f>VLOOKUP(D318,Product_Master!A:D,4,FALSE)</f>
        <v>300</v>
      </c>
      <c r="L318" t="str">
        <f>VLOOKUP(C318,Customer_Master!A:C,2,FALSE)</f>
        <v>Reliance</v>
      </c>
      <c r="M318" t="str">
        <f>VLOOKUP(C318,Customer_Master!A:C,3,FALSE)</f>
        <v>Corporate</v>
      </c>
      <c r="N318">
        <f>Table1[[#This Row],[Quantity]]*Table1[[#This Row],[Unit_Price]]</f>
        <v>2898</v>
      </c>
      <c r="O318">
        <f>(Table1[[#This Row],[Unit_Price]]-Table1[[#This Row],[Cost_Price]])*Table1[[#This Row],[Quantity]]</f>
        <v>1998</v>
      </c>
      <c r="P318">
        <f t="shared" si="4"/>
        <v>2898</v>
      </c>
      <c r="Q318" t="str">
        <f>TEXT(Table1[[#This Row],[Order_Date]],"mmm-yyyy")</f>
        <v>Apr-2024</v>
      </c>
    </row>
    <row r="319" spans="1:17" x14ac:dyDescent="0.35">
      <c r="A319" t="s">
        <v>568</v>
      </c>
      <c r="B319" t="s">
        <v>569</v>
      </c>
      <c r="C319" t="s">
        <v>45</v>
      </c>
      <c r="D319" t="s">
        <v>26</v>
      </c>
      <c r="E319" t="s">
        <v>33</v>
      </c>
      <c r="F319" t="s">
        <v>34</v>
      </c>
      <c r="G319">
        <v>8</v>
      </c>
      <c r="H319">
        <v>1864</v>
      </c>
      <c r="I319" t="str">
        <f>VLOOKUP(D319,Product_Master!A:D,2,FALSE)</f>
        <v>Laptop</v>
      </c>
      <c r="J319" t="str">
        <f>VLOOKUP(D319,Product_Master!A:D,3,FALSE)</f>
        <v>Electronics</v>
      </c>
      <c r="K319">
        <f>VLOOKUP(D319,Product_Master!A:D,4,FALSE)</f>
        <v>900</v>
      </c>
      <c r="L319" t="str">
        <f>VLOOKUP(C319,Customer_Master!A:C,2,FALSE)</f>
        <v>TCS</v>
      </c>
      <c r="M319" t="str">
        <f>VLOOKUP(C319,Customer_Master!A:C,3,FALSE)</f>
        <v>Corporate</v>
      </c>
      <c r="N319">
        <f>Table1[[#This Row],[Quantity]]*Table1[[#This Row],[Unit_Price]]</f>
        <v>14912</v>
      </c>
      <c r="O319">
        <f>(Table1[[#This Row],[Unit_Price]]-Table1[[#This Row],[Cost_Price]])*Table1[[#This Row],[Quantity]]</f>
        <v>7712</v>
      </c>
      <c r="P319">
        <f t="shared" si="4"/>
        <v>14912</v>
      </c>
      <c r="Q319" t="str">
        <f>TEXT(Table1[[#This Row],[Order_Date]],"mmm-yyyy")</f>
        <v>Aug-2024</v>
      </c>
    </row>
    <row r="320" spans="1:17" x14ac:dyDescent="0.35">
      <c r="A320" t="s">
        <v>570</v>
      </c>
      <c r="B320" t="s">
        <v>242</v>
      </c>
      <c r="C320" t="s">
        <v>30</v>
      </c>
      <c r="D320" t="s">
        <v>22</v>
      </c>
      <c r="E320" t="s">
        <v>17</v>
      </c>
      <c r="F320" t="s">
        <v>13</v>
      </c>
      <c r="G320">
        <v>9</v>
      </c>
      <c r="H320">
        <v>1435</v>
      </c>
      <c r="I320" t="str">
        <f>VLOOKUP(D320,Product_Master!A:D,2,FALSE)</f>
        <v>Desk</v>
      </c>
      <c r="J320" t="str">
        <f>VLOOKUP(D320,Product_Master!A:D,3,FALSE)</f>
        <v>Furniture</v>
      </c>
      <c r="K320">
        <f>VLOOKUP(D320,Product_Master!A:D,4,FALSE)</f>
        <v>300</v>
      </c>
      <c r="L320" t="str">
        <f>VLOOKUP(C320,Customer_Master!A:C,2,FALSE)</f>
        <v>Infosys</v>
      </c>
      <c r="M320" t="str">
        <f>VLOOKUP(C320,Customer_Master!A:C,3,FALSE)</f>
        <v>Corporate</v>
      </c>
      <c r="N320">
        <f>Table1[[#This Row],[Quantity]]*Table1[[#This Row],[Unit_Price]]</f>
        <v>12915</v>
      </c>
      <c r="O320">
        <f>(Table1[[#This Row],[Unit_Price]]-Table1[[#This Row],[Cost_Price]])*Table1[[#This Row],[Quantity]]</f>
        <v>10215</v>
      </c>
      <c r="P320">
        <f t="shared" si="4"/>
        <v>12915</v>
      </c>
      <c r="Q320" t="str">
        <f>TEXT(Table1[[#This Row],[Order_Date]],"mmm-yyyy")</f>
        <v>May-2024</v>
      </c>
    </row>
    <row r="321" spans="1:17" x14ac:dyDescent="0.35">
      <c r="A321" t="s">
        <v>571</v>
      </c>
      <c r="B321" t="s">
        <v>255</v>
      </c>
      <c r="C321" t="s">
        <v>45</v>
      </c>
      <c r="D321" t="s">
        <v>16</v>
      </c>
      <c r="E321" t="s">
        <v>17</v>
      </c>
      <c r="F321" t="s">
        <v>13</v>
      </c>
      <c r="G321">
        <v>4</v>
      </c>
      <c r="H321">
        <v>1270</v>
      </c>
      <c r="I321" t="str">
        <f>VLOOKUP(D321,Product_Master!A:D,2,FALSE)</f>
        <v>Printer</v>
      </c>
      <c r="J321" t="str">
        <f>VLOOKUP(D321,Product_Master!A:D,3,FALSE)</f>
        <v>Electronics</v>
      </c>
      <c r="K321">
        <f>VLOOKUP(D321,Product_Master!A:D,4,FALSE)</f>
        <v>1100</v>
      </c>
      <c r="L321" t="str">
        <f>VLOOKUP(C321,Customer_Master!A:C,2,FALSE)</f>
        <v>TCS</v>
      </c>
      <c r="M321" t="str">
        <f>VLOOKUP(C321,Customer_Master!A:C,3,FALSE)</f>
        <v>Corporate</v>
      </c>
      <c r="N321">
        <f>Table1[[#This Row],[Quantity]]*Table1[[#This Row],[Unit_Price]]</f>
        <v>5080</v>
      </c>
      <c r="O321">
        <f>(Table1[[#This Row],[Unit_Price]]-Table1[[#This Row],[Cost_Price]])*Table1[[#This Row],[Quantity]]</f>
        <v>680</v>
      </c>
      <c r="P321">
        <f t="shared" si="4"/>
        <v>5080</v>
      </c>
      <c r="Q321" t="str">
        <f>TEXT(Table1[[#This Row],[Order_Date]],"mmm-yyyy")</f>
        <v>Jul-2024</v>
      </c>
    </row>
    <row r="322" spans="1:17" x14ac:dyDescent="0.35">
      <c r="A322" t="s">
        <v>572</v>
      </c>
      <c r="B322" t="s">
        <v>350</v>
      </c>
      <c r="C322" t="s">
        <v>30</v>
      </c>
      <c r="D322" t="s">
        <v>26</v>
      </c>
      <c r="E322" t="s">
        <v>33</v>
      </c>
      <c r="F322" t="s">
        <v>23</v>
      </c>
      <c r="G322">
        <v>3</v>
      </c>
      <c r="H322">
        <v>1921</v>
      </c>
      <c r="I322" t="str">
        <f>VLOOKUP(D322,Product_Master!A:D,2,FALSE)</f>
        <v>Laptop</v>
      </c>
      <c r="J322" t="str">
        <f>VLOOKUP(D322,Product_Master!A:D,3,FALSE)</f>
        <v>Electronics</v>
      </c>
      <c r="K322">
        <f>VLOOKUP(D322,Product_Master!A:D,4,FALSE)</f>
        <v>900</v>
      </c>
      <c r="L322" t="str">
        <f>VLOOKUP(C322,Customer_Master!A:C,2,FALSE)</f>
        <v>Infosys</v>
      </c>
      <c r="M322" t="str">
        <f>VLOOKUP(C322,Customer_Master!A:C,3,FALSE)</f>
        <v>Corporate</v>
      </c>
      <c r="N322">
        <f>Table1[[#This Row],[Quantity]]*Table1[[#This Row],[Unit_Price]]</f>
        <v>5763</v>
      </c>
      <c r="O322">
        <f>(Table1[[#This Row],[Unit_Price]]-Table1[[#This Row],[Cost_Price]])*Table1[[#This Row],[Quantity]]</f>
        <v>3063</v>
      </c>
      <c r="P322">
        <f t="shared" ref="P322:P385" si="5">VALUE(N322)</f>
        <v>5763</v>
      </c>
      <c r="Q322" t="str">
        <f>TEXT(Table1[[#This Row],[Order_Date]],"mmm-yyyy")</f>
        <v>Jul-2024</v>
      </c>
    </row>
    <row r="323" spans="1:17" x14ac:dyDescent="0.35">
      <c r="A323" t="s">
        <v>573</v>
      </c>
      <c r="B323" t="s">
        <v>574</v>
      </c>
      <c r="C323" t="s">
        <v>42</v>
      </c>
      <c r="D323" t="s">
        <v>16</v>
      </c>
      <c r="E323" t="s">
        <v>17</v>
      </c>
      <c r="F323" t="s">
        <v>34</v>
      </c>
      <c r="G323">
        <v>1</v>
      </c>
      <c r="H323">
        <v>1274</v>
      </c>
      <c r="I323" t="str">
        <f>VLOOKUP(D323,Product_Master!A:D,2,FALSE)</f>
        <v>Printer</v>
      </c>
      <c r="J323" t="str">
        <f>VLOOKUP(D323,Product_Master!A:D,3,FALSE)</f>
        <v>Electronics</v>
      </c>
      <c r="K323">
        <f>VLOOKUP(D323,Product_Master!A:D,4,FALSE)</f>
        <v>1100</v>
      </c>
      <c r="L323" t="str">
        <f>VLOOKUP(C323,Customer_Master!A:C,2,FALSE)</f>
        <v>Ramesh</v>
      </c>
      <c r="M323" t="str">
        <f>VLOOKUP(C323,Customer_Master!A:C,3,FALSE)</f>
        <v>Consumer</v>
      </c>
      <c r="N323">
        <f>Table1[[#This Row],[Quantity]]*Table1[[#This Row],[Unit_Price]]</f>
        <v>1274</v>
      </c>
      <c r="O323">
        <f>(Table1[[#This Row],[Unit_Price]]-Table1[[#This Row],[Cost_Price]])*Table1[[#This Row],[Quantity]]</f>
        <v>174</v>
      </c>
      <c r="P323">
        <f t="shared" si="5"/>
        <v>1274</v>
      </c>
      <c r="Q323" t="str">
        <f>TEXT(Table1[[#This Row],[Order_Date]],"mmm-yyyy")</f>
        <v>Aug-2024</v>
      </c>
    </row>
    <row r="324" spans="1:17" x14ac:dyDescent="0.35">
      <c r="A324" t="s">
        <v>575</v>
      </c>
      <c r="B324" t="s">
        <v>576</v>
      </c>
      <c r="C324" t="s">
        <v>42</v>
      </c>
      <c r="D324" t="s">
        <v>16</v>
      </c>
      <c r="E324" t="s">
        <v>12</v>
      </c>
      <c r="F324" t="s">
        <v>18</v>
      </c>
      <c r="G324">
        <v>5</v>
      </c>
      <c r="H324">
        <v>1741</v>
      </c>
      <c r="I324" t="str">
        <f>VLOOKUP(D324,Product_Master!A:D,2,FALSE)</f>
        <v>Printer</v>
      </c>
      <c r="J324" t="str">
        <f>VLOOKUP(D324,Product_Master!A:D,3,FALSE)</f>
        <v>Electronics</v>
      </c>
      <c r="K324">
        <f>VLOOKUP(D324,Product_Master!A:D,4,FALSE)</f>
        <v>1100</v>
      </c>
      <c r="L324" t="str">
        <f>VLOOKUP(C324,Customer_Master!A:C,2,FALSE)</f>
        <v>Ramesh</v>
      </c>
      <c r="M324" t="str">
        <f>VLOOKUP(C324,Customer_Master!A:C,3,FALSE)</f>
        <v>Consumer</v>
      </c>
      <c r="N324">
        <f>Table1[[#This Row],[Quantity]]*Table1[[#This Row],[Unit_Price]]</f>
        <v>8705</v>
      </c>
      <c r="O324">
        <f>(Table1[[#This Row],[Unit_Price]]-Table1[[#This Row],[Cost_Price]])*Table1[[#This Row],[Quantity]]</f>
        <v>3205</v>
      </c>
      <c r="P324">
        <f t="shared" si="5"/>
        <v>8705</v>
      </c>
      <c r="Q324" t="str">
        <f>TEXT(Table1[[#This Row],[Order_Date]],"mmm-yyyy")</f>
        <v>Oct-2024</v>
      </c>
    </row>
    <row r="325" spans="1:17" x14ac:dyDescent="0.35">
      <c r="A325" t="s">
        <v>577</v>
      </c>
      <c r="B325" t="s">
        <v>183</v>
      </c>
      <c r="C325" t="s">
        <v>10</v>
      </c>
      <c r="D325" t="s">
        <v>22</v>
      </c>
      <c r="E325" t="s">
        <v>27</v>
      </c>
      <c r="F325" t="s">
        <v>34</v>
      </c>
      <c r="G325">
        <v>9</v>
      </c>
      <c r="H325">
        <v>1327</v>
      </c>
      <c r="I325" t="str">
        <f>VLOOKUP(D325,Product_Master!A:D,2,FALSE)</f>
        <v>Desk</v>
      </c>
      <c r="J325" t="str">
        <f>VLOOKUP(D325,Product_Master!A:D,3,FALSE)</f>
        <v>Furniture</v>
      </c>
      <c r="K325">
        <f>VLOOKUP(D325,Product_Master!A:D,4,FALSE)</f>
        <v>300</v>
      </c>
      <c r="L325" t="str">
        <f>VLOOKUP(C325,Customer_Master!A:C,2,FALSE)</f>
        <v>Suresh</v>
      </c>
      <c r="M325" t="str">
        <f>VLOOKUP(C325,Customer_Master!A:C,3,FALSE)</f>
        <v>Consumer</v>
      </c>
      <c r="N325">
        <f>Table1[[#This Row],[Quantity]]*Table1[[#This Row],[Unit_Price]]</f>
        <v>11943</v>
      </c>
      <c r="O325">
        <f>(Table1[[#This Row],[Unit_Price]]-Table1[[#This Row],[Cost_Price]])*Table1[[#This Row],[Quantity]]</f>
        <v>9243</v>
      </c>
      <c r="P325">
        <f t="shared" si="5"/>
        <v>11943</v>
      </c>
      <c r="Q325" t="str">
        <f>TEXT(Table1[[#This Row],[Order_Date]],"mmm-yyyy")</f>
        <v>Aug-2024</v>
      </c>
    </row>
    <row r="326" spans="1:17" x14ac:dyDescent="0.35">
      <c r="A326" t="s">
        <v>578</v>
      </c>
      <c r="B326" t="s">
        <v>460</v>
      </c>
      <c r="C326" t="s">
        <v>30</v>
      </c>
      <c r="D326" t="s">
        <v>37</v>
      </c>
      <c r="E326" t="s">
        <v>27</v>
      </c>
      <c r="F326" t="s">
        <v>18</v>
      </c>
      <c r="G326">
        <v>2</v>
      </c>
      <c r="H326">
        <v>982</v>
      </c>
      <c r="I326" t="str">
        <f>VLOOKUP(D326,Product_Master!A:D,2,FALSE)</f>
        <v>Mobile</v>
      </c>
      <c r="J326" t="str">
        <f>VLOOKUP(D326,Product_Master!A:D,3,FALSE)</f>
        <v>Electronics</v>
      </c>
      <c r="K326">
        <f>VLOOKUP(D326,Product_Master!A:D,4,FALSE)</f>
        <v>600</v>
      </c>
      <c r="L326" t="str">
        <f>VLOOKUP(C326,Customer_Master!A:C,2,FALSE)</f>
        <v>Infosys</v>
      </c>
      <c r="M326" t="str">
        <f>VLOOKUP(C326,Customer_Master!A:C,3,FALSE)</f>
        <v>Corporate</v>
      </c>
      <c r="N326">
        <f>Table1[[#This Row],[Quantity]]*Table1[[#This Row],[Unit_Price]]</f>
        <v>1964</v>
      </c>
      <c r="O326">
        <f>(Table1[[#This Row],[Unit_Price]]-Table1[[#This Row],[Cost_Price]])*Table1[[#This Row],[Quantity]]</f>
        <v>764</v>
      </c>
      <c r="P326">
        <f t="shared" si="5"/>
        <v>1964</v>
      </c>
      <c r="Q326" t="str">
        <f>TEXT(Table1[[#This Row],[Order_Date]],"mmm-yyyy")</f>
        <v>Nov-2024</v>
      </c>
    </row>
    <row r="327" spans="1:17" x14ac:dyDescent="0.35">
      <c r="A327" t="s">
        <v>579</v>
      </c>
      <c r="B327" t="s">
        <v>580</v>
      </c>
      <c r="C327" t="s">
        <v>10</v>
      </c>
      <c r="D327" t="s">
        <v>11</v>
      </c>
      <c r="E327" t="s">
        <v>17</v>
      </c>
      <c r="F327" t="s">
        <v>13</v>
      </c>
      <c r="G327">
        <v>2</v>
      </c>
      <c r="H327">
        <v>1997</v>
      </c>
      <c r="I327" t="str">
        <f>VLOOKUP(D327,Product_Master!A:D,2,FALSE)</f>
        <v>Chair</v>
      </c>
      <c r="J327" t="str">
        <f>VLOOKUP(D327,Product_Master!A:D,3,FALSE)</f>
        <v>Furniture</v>
      </c>
      <c r="K327">
        <f>VLOOKUP(D327,Product_Master!A:D,4,FALSE)</f>
        <v>150</v>
      </c>
      <c r="L327" t="str">
        <f>VLOOKUP(C327,Customer_Master!A:C,2,FALSE)</f>
        <v>Suresh</v>
      </c>
      <c r="M327" t="str">
        <f>VLOOKUP(C327,Customer_Master!A:C,3,FALSE)</f>
        <v>Consumer</v>
      </c>
      <c r="N327">
        <f>Table1[[#This Row],[Quantity]]*Table1[[#This Row],[Unit_Price]]</f>
        <v>3994</v>
      </c>
      <c r="O327">
        <f>(Table1[[#This Row],[Unit_Price]]-Table1[[#This Row],[Cost_Price]])*Table1[[#This Row],[Quantity]]</f>
        <v>3694</v>
      </c>
      <c r="P327">
        <f t="shared" si="5"/>
        <v>3994</v>
      </c>
      <c r="Q327" t="str">
        <f>TEXT(Table1[[#This Row],[Order_Date]],"mmm-yyyy")</f>
        <v>Jan-2024</v>
      </c>
    </row>
    <row r="328" spans="1:17" x14ac:dyDescent="0.35">
      <c r="A328" t="s">
        <v>581</v>
      </c>
      <c r="B328" t="s">
        <v>582</v>
      </c>
      <c r="C328" t="s">
        <v>45</v>
      </c>
      <c r="D328" t="s">
        <v>16</v>
      </c>
      <c r="E328" t="s">
        <v>33</v>
      </c>
      <c r="F328" t="s">
        <v>23</v>
      </c>
      <c r="G328">
        <v>10</v>
      </c>
      <c r="H328">
        <v>1073</v>
      </c>
      <c r="I328" t="str">
        <f>VLOOKUP(D328,Product_Master!A:D,2,FALSE)</f>
        <v>Printer</v>
      </c>
      <c r="J328" t="str">
        <f>VLOOKUP(D328,Product_Master!A:D,3,FALSE)</f>
        <v>Electronics</v>
      </c>
      <c r="K328">
        <f>VLOOKUP(D328,Product_Master!A:D,4,FALSE)</f>
        <v>1100</v>
      </c>
      <c r="L328" t="str">
        <f>VLOOKUP(C328,Customer_Master!A:C,2,FALSE)</f>
        <v>TCS</v>
      </c>
      <c r="M328" t="str">
        <f>VLOOKUP(C328,Customer_Master!A:C,3,FALSE)</f>
        <v>Corporate</v>
      </c>
      <c r="N328">
        <f>Table1[[#This Row],[Quantity]]*Table1[[#This Row],[Unit_Price]]</f>
        <v>10730</v>
      </c>
      <c r="O328">
        <f>(Table1[[#This Row],[Unit_Price]]-Table1[[#This Row],[Cost_Price]])*Table1[[#This Row],[Quantity]]</f>
        <v>-270</v>
      </c>
      <c r="P328">
        <f t="shared" si="5"/>
        <v>10730</v>
      </c>
      <c r="Q328" t="str">
        <f>TEXT(Table1[[#This Row],[Order_Date]],"mmm-yyyy")</f>
        <v>Aug-2024</v>
      </c>
    </row>
    <row r="329" spans="1:17" x14ac:dyDescent="0.35">
      <c r="A329" t="s">
        <v>583</v>
      </c>
      <c r="B329" t="s">
        <v>380</v>
      </c>
      <c r="C329" t="s">
        <v>10</v>
      </c>
      <c r="D329" t="s">
        <v>26</v>
      </c>
      <c r="E329" t="s">
        <v>12</v>
      </c>
      <c r="F329" t="s">
        <v>18</v>
      </c>
      <c r="G329">
        <v>4</v>
      </c>
      <c r="H329">
        <v>1104</v>
      </c>
      <c r="I329" t="str">
        <f>VLOOKUP(D329,Product_Master!A:D,2,FALSE)</f>
        <v>Laptop</v>
      </c>
      <c r="J329" t="str">
        <f>VLOOKUP(D329,Product_Master!A:D,3,FALSE)</f>
        <v>Electronics</v>
      </c>
      <c r="K329">
        <f>VLOOKUP(D329,Product_Master!A:D,4,FALSE)</f>
        <v>900</v>
      </c>
      <c r="L329" t="str">
        <f>VLOOKUP(C329,Customer_Master!A:C,2,FALSE)</f>
        <v>Suresh</v>
      </c>
      <c r="M329" t="str">
        <f>VLOOKUP(C329,Customer_Master!A:C,3,FALSE)</f>
        <v>Consumer</v>
      </c>
      <c r="N329">
        <f>Table1[[#This Row],[Quantity]]*Table1[[#This Row],[Unit_Price]]</f>
        <v>4416</v>
      </c>
      <c r="O329">
        <f>(Table1[[#This Row],[Unit_Price]]-Table1[[#This Row],[Cost_Price]])*Table1[[#This Row],[Quantity]]</f>
        <v>816</v>
      </c>
      <c r="P329">
        <f t="shared" si="5"/>
        <v>4416</v>
      </c>
      <c r="Q329" t="str">
        <f>TEXT(Table1[[#This Row],[Order_Date]],"mmm-yyyy")</f>
        <v>Jan-2024</v>
      </c>
    </row>
    <row r="330" spans="1:17" x14ac:dyDescent="0.35">
      <c r="A330" t="s">
        <v>584</v>
      </c>
      <c r="B330" t="s">
        <v>585</v>
      </c>
      <c r="C330" t="s">
        <v>42</v>
      </c>
      <c r="D330" t="s">
        <v>22</v>
      </c>
      <c r="E330" t="s">
        <v>27</v>
      </c>
      <c r="F330" t="s">
        <v>23</v>
      </c>
      <c r="G330">
        <v>9</v>
      </c>
      <c r="H330">
        <v>1800</v>
      </c>
      <c r="I330" t="str">
        <f>VLOOKUP(D330,Product_Master!A:D,2,FALSE)</f>
        <v>Desk</v>
      </c>
      <c r="J330" t="str">
        <f>VLOOKUP(D330,Product_Master!A:D,3,FALSE)</f>
        <v>Furniture</v>
      </c>
      <c r="K330">
        <f>VLOOKUP(D330,Product_Master!A:D,4,FALSE)</f>
        <v>300</v>
      </c>
      <c r="L330" t="str">
        <f>VLOOKUP(C330,Customer_Master!A:C,2,FALSE)</f>
        <v>Ramesh</v>
      </c>
      <c r="M330" t="str">
        <f>VLOOKUP(C330,Customer_Master!A:C,3,FALSE)</f>
        <v>Consumer</v>
      </c>
      <c r="N330">
        <f>Table1[[#This Row],[Quantity]]*Table1[[#This Row],[Unit_Price]]</f>
        <v>16200</v>
      </c>
      <c r="O330">
        <f>(Table1[[#This Row],[Unit_Price]]-Table1[[#This Row],[Cost_Price]])*Table1[[#This Row],[Quantity]]</f>
        <v>13500</v>
      </c>
      <c r="P330">
        <f t="shared" si="5"/>
        <v>16200</v>
      </c>
      <c r="Q330" t="str">
        <f>TEXT(Table1[[#This Row],[Order_Date]],"mmm-yyyy")</f>
        <v>Oct-2024</v>
      </c>
    </row>
    <row r="331" spans="1:17" x14ac:dyDescent="0.35">
      <c r="A331" t="s">
        <v>586</v>
      </c>
      <c r="B331" t="s">
        <v>587</v>
      </c>
      <c r="C331" t="s">
        <v>10</v>
      </c>
      <c r="D331" t="s">
        <v>22</v>
      </c>
      <c r="E331" t="s">
        <v>27</v>
      </c>
      <c r="F331" t="s">
        <v>18</v>
      </c>
      <c r="G331">
        <v>7</v>
      </c>
      <c r="H331">
        <v>1474</v>
      </c>
      <c r="I331" t="str">
        <f>VLOOKUP(D331,Product_Master!A:D,2,FALSE)</f>
        <v>Desk</v>
      </c>
      <c r="J331" t="str">
        <f>VLOOKUP(D331,Product_Master!A:D,3,FALSE)</f>
        <v>Furniture</v>
      </c>
      <c r="K331">
        <f>VLOOKUP(D331,Product_Master!A:D,4,FALSE)</f>
        <v>300</v>
      </c>
      <c r="L331" t="str">
        <f>VLOOKUP(C331,Customer_Master!A:C,2,FALSE)</f>
        <v>Suresh</v>
      </c>
      <c r="M331" t="str">
        <f>VLOOKUP(C331,Customer_Master!A:C,3,FALSE)</f>
        <v>Consumer</v>
      </c>
      <c r="N331">
        <f>Table1[[#This Row],[Quantity]]*Table1[[#This Row],[Unit_Price]]</f>
        <v>10318</v>
      </c>
      <c r="O331">
        <f>(Table1[[#This Row],[Unit_Price]]-Table1[[#This Row],[Cost_Price]])*Table1[[#This Row],[Quantity]]</f>
        <v>8218</v>
      </c>
      <c r="P331">
        <f t="shared" si="5"/>
        <v>10318</v>
      </c>
      <c r="Q331" t="str">
        <f>TEXT(Table1[[#This Row],[Order_Date]],"mmm-yyyy")</f>
        <v>Aug-2024</v>
      </c>
    </row>
    <row r="332" spans="1:17" x14ac:dyDescent="0.35">
      <c r="A332" t="s">
        <v>588</v>
      </c>
      <c r="B332" t="s">
        <v>589</v>
      </c>
      <c r="C332" t="s">
        <v>21</v>
      </c>
      <c r="D332" t="s">
        <v>11</v>
      </c>
      <c r="E332" t="s">
        <v>12</v>
      </c>
      <c r="F332" t="s">
        <v>23</v>
      </c>
      <c r="G332">
        <v>4</v>
      </c>
      <c r="H332">
        <v>1405</v>
      </c>
      <c r="I332" t="str">
        <f>VLOOKUP(D332,Product_Master!A:D,2,FALSE)</f>
        <v>Chair</v>
      </c>
      <c r="J332" t="str">
        <f>VLOOKUP(D332,Product_Master!A:D,3,FALSE)</f>
        <v>Furniture</v>
      </c>
      <c r="K332">
        <f>VLOOKUP(D332,Product_Master!A:D,4,FALSE)</f>
        <v>150</v>
      </c>
      <c r="L332" t="str">
        <f>VLOOKUP(C332,Customer_Master!A:C,2,FALSE)</f>
        <v>Reliance</v>
      </c>
      <c r="M332" t="str">
        <f>VLOOKUP(C332,Customer_Master!A:C,3,FALSE)</f>
        <v>Corporate</v>
      </c>
      <c r="N332">
        <f>Table1[[#This Row],[Quantity]]*Table1[[#This Row],[Unit_Price]]</f>
        <v>5620</v>
      </c>
      <c r="O332">
        <f>(Table1[[#This Row],[Unit_Price]]-Table1[[#This Row],[Cost_Price]])*Table1[[#This Row],[Quantity]]</f>
        <v>5020</v>
      </c>
      <c r="P332">
        <f t="shared" si="5"/>
        <v>5620</v>
      </c>
      <c r="Q332" t="str">
        <f>TEXT(Table1[[#This Row],[Order_Date]],"mmm-yyyy")</f>
        <v>Sep-2024</v>
      </c>
    </row>
    <row r="333" spans="1:17" x14ac:dyDescent="0.35">
      <c r="A333" t="s">
        <v>590</v>
      </c>
      <c r="B333" t="s">
        <v>308</v>
      </c>
      <c r="C333" t="s">
        <v>30</v>
      </c>
      <c r="D333" t="s">
        <v>16</v>
      </c>
      <c r="E333" t="s">
        <v>27</v>
      </c>
      <c r="F333" t="s">
        <v>13</v>
      </c>
      <c r="G333">
        <v>8</v>
      </c>
      <c r="H333">
        <v>1757</v>
      </c>
      <c r="I333" t="str">
        <f>VLOOKUP(D333,Product_Master!A:D,2,FALSE)</f>
        <v>Printer</v>
      </c>
      <c r="J333" t="str">
        <f>VLOOKUP(D333,Product_Master!A:D,3,FALSE)</f>
        <v>Electronics</v>
      </c>
      <c r="K333">
        <f>VLOOKUP(D333,Product_Master!A:D,4,FALSE)</f>
        <v>1100</v>
      </c>
      <c r="L333" t="str">
        <f>VLOOKUP(C333,Customer_Master!A:C,2,FALSE)</f>
        <v>Infosys</v>
      </c>
      <c r="M333" t="str">
        <f>VLOOKUP(C333,Customer_Master!A:C,3,FALSE)</f>
        <v>Corporate</v>
      </c>
      <c r="N333">
        <f>Table1[[#This Row],[Quantity]]*Table1[[#This Row],[Unit_Price]]</f>
        <v>14056</v>
      </c>
      <c r="O333">
        <f>(Table1[[#This Row],[Unit_Price]]-Table1[[#This Row],[Cost_Price]])*Table1[[#This Row],[Quantity]]</f>
        <v>5256</v>
      </c>
      <c r="P333">
        <f t="shared" si="5"/>
        <v>14056</v>
      </c>
      <c r="Q333" t="str">
        <f>TEXT(Table1[[#This Row],[Order_Date]],"mmm-yyyy")</f>
        <v>May-2024</v>
      </c>
    </row>
    <row r="334" spans="1:17" x14ac:dyDescent="0.35">
      <c r="A334" t="s">
        <v>591</v>
      </c>
      <c r="B334" t="s">
        <v>503</v>
      </c>
      <c r="C334" t="s">
        <v>10</v>
      </c>
      <c r="D334" t="s">
        <v>22</v>
      </c>
      <c r="E334" t="s">
        <v>27</v>
      </c>
      <c r="F334" t="s">
        <v>18</v>
      </c>
      <c r="G334">
        <v>8</v>
      </c>
      <c r="H334">
        <v>1373</v>
      </c>
      <c r="I334" t="str">
        <f>VLOOKUP(D334,Product_Master!A:D,2,FALSE)</f>
        <v>Desk</v>
      </c>
      <c r="J334" t="str">
        <f>VLOOKUP(D334,Product_Master!A:D,3,FALSE)</f>
        <v>Furniture</v>
      </c>
      <c r="K334">
        <f>VLOOKUP(D334,Product_Master!A:D,4,FALSE)</f>
        <v>300</v>
      </c>
      <c r="L334" t="str">
        <f>VLOOKUP(C334,Customer_Master!A:C,2,FALSE)</f>
        <v>Suresh</v>
      </c>
      <c r="M334" t="str">
        <f>VLOOKUP(C334,Customer_Master!A:C,3,FALSE)</f>
        <v>Consumer</v>
      </c>
      <c r="N334">
        <f>Table1[[#This Row],[Quantity]]*Table1[[#This Row],[Unit_Price]]</f>
        <v>10984</v>
      </c>
      <c r="O334">
        <f>(Table1[[#This Row],[Unit_Price]]-Table1[[#This Row],[Cost_Price]])*Table1[[#This Row],[Quantity]]</f>
        <v>8584</v>
      </c>
      <c r="P334">
        <f t="shared" si="5"/>
        <v>10984</v>
      </c>
      <c r="Q334" t="str">
        <f>TEXT(Table1[[#This Row],[Order_Date]],"mmm-yyyy")</f>
        <v>Mar-2024</v>
      </c>
    </row>
    <row r="335" spans="1:17" x14ac:dyDescent="0.35">
      <c r="A335" t="s">
        <v>592</v>
      </c>
      <c r="B335" t="s">
        <v>593</v>
      </c>
      <c r="C335" t="s">
        <v>10</v>
      </c>
      <c r="D335" t="s">
        <v>16</v>
      </c>
      <c r="E335" t="s">
        <v>33</v>
      </c>
      <c r="F335" t="s">
        <v>23</v>
      </c>
      <c r="G335">
        <v>3</v>
      </c>
      <c r="H335">
        <v>1864</v>
      </c>
      <c r="I335" t="str">
        <f>VLOOKUP(D335,Product_Master!A:D,2,FALSE)</f>
        <v>Printer</v>
      </c>
      <c r="J335" t="str">
        <f>VLOOKUP(D335,Product_Master!A:D,3,FALSE)</f>
        <v>Electronics</v>
      </c>
      <c r="K335">
        <f>VLOOKUP(D335,Product_Master!A:D,4,FALSE)</f>
        <v>1100</v>
      </c>
      <c r="L335" t="str">
        <f>VLOOKUP(C335,Customer_Master!A:C,2,FALSE)</f>
        <v>Suresh</v>
      </c>
      <c r="M335" t="str">
        <f>VLOOKUP(C335,Customer_Master!A:C,3,FALSE)</f>
        <v>Consumer</v>
      </c>
      <c r="N335">
        <f>Table1[[#This Row],[Quantity]]*Table1[[#This Row],[Unit_Price]]</f>
        <v>5592</v>
      </c>
      <c r="O335">
        <f>(Table1[[#This Row],[Unit_Price]]-Table1[[#This Row],[Cost_Price]])*Table1[[#This Row],[Quantity]]</f>
        <v>2292</v>
      </c>
      <c r="P335">
        <f t="shared" si="5"/>
        <v>5592</v>
      </c>
      <c r="Q335" t="str">
        <f>TEXT(Table1[[#This Row],[Order_Date]],"mmm-yyyy")</f>
        <v>May-2024</v>
      </c>
    </row>
    <row r="336" spans="1:17" x14ac:dyDescent="0.35">
      <c r="A336" t="s">
        <v>594</v>
      </c>
      <c r="B336" t="s">
        <v>179</v>
      </c>
      <c r="C336" t="s">
        <v>45</v>
      </c>
      <c r="D336" t="s">
        <v>26</v>
      </c>
      <c r="E336" t="s">
        <v>33</v>
      </c>
      <c r="F336" t="s">
        <v>23</v>
      </c>
      <c r="G336">
        <v>1</v>
      </c>
      <c r="H336">
        <v>1829</v>
      </c>
      <c r="I336" t="str">
        <f>VLOOKUP(D336,Product_Master!A:D,2,FALSE)</f>
        <v>Laptop</v>
      </c>
      <c r="J336" t="str">
        <f>VLOOKUP(D336,Product_Master!A:D,3,FALSE)</f>
        <v>Electronics</v>
      </c>
      <c r="K336">
        <f>VLOOKUP(D336,Product_Master!A:D,4,FALSE)</f>
        <v>900</v>
      </c>
      <c r="L336" t="str">
        <f>VLOOKUP(C336,Customer_Master!A:C,2,FALSE)</f>
        <v>TCS</v>
      </c>
      <c r="M336" t="str">
        <f>VLOOKUP(C336,Customer_Master!A:C,3,FALSE)</f>
        <v>Corporate</v>
      </c>
      <c r="N336">
        <f>Table1[[#This Row],[Quantity]]*Table1[[#This Row],[Unit_Price]]</f>
        <v>1829</v>
      </c>
      <c r="O336">
        <f>(Table1[[#This Row],[Unit_Price]]-Table1[[#This Row],[Cost_Price]])*Table1[[#This Row],[Quantity]]</f>
        <v>929</v>
      </c>
      <c r="P336">
        <f t="shared" si="5"/>
        <v>1829</v>
      </c>
      <c r="Q336" t="str">
        <f>TEXT(Table1[[#This Row],[Order_Date]],"mmm-yyyy")</f>
        <v>Dec-2024</v>
      </c>
    </row>
    <row r="337" spans="1:17" x14ac:dyDescent="0.35">
      <c r="A337" t="s">
        <v>595</v>
      </c>
      <c r="B337" t="s">
        <v>368</v>
      </c>
      <c r="C337" t="s">
        <v>30</v>
      </c>
      <c r="D337" t="s">
        <v>26</v>
      </c>
      <c r="E337" t="s">
        <v>27</v>
      </c>
      <c r="F337" t="s">
        <v>18</v>
      </c>
      <c r="G337">
        <v>3</v>
      </c>
      <c r="H337">
        <v>1360</v>
      </c>
      <c r="I337" t="str">
        <f>VLOOKUP(D337,Product_Master!A:D,2,FALSE)</f>
        <v>Laptop</v>
      </c>
      <c r="J337" t="str">
        <f>VLOOKUP(D337,Product_Master!A:D,3,FALSE)</f>
        <v>Electronics</v>
      </c>
      <c r="K337">
        <f>VLOOKUP(D337,Product_Master!A:D,4,FALSE)</f>
        <v>900</v>
      </c>
      <c r="L337" t="str">
        <f>VLOOKUP(C337,Customer_Master!A:C,2,FALSE)</f>
        <v>Infosys</v>
      </c>
      <c r="M337" t="str">
        <f>VLOOKUP(C337,Customer_Master!A:C,3,FALSE)</f>
        <v>Corporate</v>
      </c>
      <c r="N337">
        <f>Table1[[#This Row],[Quantity]]*Table1[[#This Row],[Unit_Price]]</f>
        <v>4080</v>
      </c>
      <c r="O337">
        <f>(Table1[[#This Row],[Unit_Price]]-Table1[[#This Row],[Cost_Price]])*Table1[[#This Row],[Quantity]]</f>
        <v>1380</v>
      </c>
      <c r="P337">
        <f t="shared" si="5"/>
        <v>4080</v>
      </c>
      <c r="Q337" t="str">
        <f>TEXT(Table1[[#This Row],[Order_Date]],"mmm-yyyy")</f>
        <v>Oct-2024</v>
      </c>
    </row>
    <row r="338" spans="1:17" x14ac:dyDescent="0.35">
      <c r="A338" t="s">
        <v>596</v>
      </c>
      <c r="B338" t="s">
        <v>425</v>
      </c>
      <c r="C338" t="s">
        <v>21</v>
      </c>
      <c r="D338" t="s">
        <v>11</v>
      </c>
      <c r="E338" t="s">
        <v>27</v>
      </c>
      <c r="F338" t="s">
        <v>23</v>
      </c>
      <c r="G338">
        <v>2</v>
      </c>
      <c r="H338">
        <v>1103</v>
      </c>
      <c r="I338" t="str">
        <f>VLOOKUP(D338,Product_Master!A:D,2,FALSE)</f>
        <v>Chair</v>
      </c>
      <c r="J338" t="str">
        <f>VLOOKUP(D338,Product_Master!A:D,3,FALSE)</f>
        <v>Furniture</v>
      </c>
      <c r="K338">
        <f>VLOOKUP(D338,Product_Master!A:D,4,FALSE)</f>
        <v>150</v>
      </c>
      <c r="L338" t="str">
        <f>VLOOKUP(C338,Customer_Master!A:C,2,FALSE)</f>
        <v>Reliance</v>
      </c>
      <c r="M338" t="str">
        <f>VLOOKUP(C338,Customer_Master!A:C,3,FALSE)</f>
        <v>Corporate</v>
      </c>
      <c r="N338">
        <f>Table1[[#This Row],[Quantity]]*Table1[[#This Row],[Unit_Price]]</f>
        <v>2206</v>
      </c>
      <c r="O338">
        <f>(Table1[[#This Row],[Unit_Price]]-Table1[[#This Row],[Cost_Price]])*Table1[[#This Row],[Quantity]]</f>
        <v>1906</v>
      </c>
      <c r="P338">
        <f t="shared" si="5"/>
        <v>2206</v>
      </c>
      <c r="Q338" t="str">
        <f>TEXT(Table1[[#This Row],[Order_Date]],"mmm-yyyy")</f>
        <v>Sep-2024</v>
      </c>
    </row>
    <row r="339" spans="1:17" x14ac:dyDescent="0.35">
      <c r="A339" t="s">
        <v>597</v>
      </c>
      <c r="B339" t="s">
        <v>352</v>
      </c>
      <c r="C339" t="s">
        <v>10</v>
      </c>
      <c r="D339" t="s">
        <v>16</v>
      </c>
      <c r="E339" t="s">
        <v>27</v>
      </c>
      <c r="F339" t="s">
        <v>13</v>
      </c>
      <c r="G339">
        <v>5</v>
      </c>
      <c r="H339">
        <v>1701</v>
      </c>
      <c r="I339" t="str">
        <f>VLOOKUP(D339,Product_Master!A:D,2,FALSE)</f>
        <v>Printer</v>
      </c>
      <c r="J339" t="str">
        <f>VLOOKUP(D339,Product_Master!A:D,3,FALSE)</f>
        <v>Electronics</v>
      </c>
      <c r="K339">
        <f>VLOOKUP(D339,Product_Master!A:D,4,FALSE)</f>
        <v>1100</v>
      </c>
      <c r="L339" t="str">
        <f>VLOOKUP(C339,Customer_Master!A:C,2,FALSE)</f>
        <v>Suresh</v>
      </c>
      <c r="M339" t="str">
        <f>VLOOKUP(C339,Customer_Master!A:C,3,FALSE)</f>
        <v>Consumer</v>
      </c>
      <c r="N339">
        <f>Table1[[#This Row],[Quantity]]*Table1[[#This Row],[Unit_Price]]</f>
        <v>8505</v>
      </c>
      <c r="O339">
        <f>(Table1[[#This Row],[Unit_Price]]-Table1[[#This Row],[Cost_Price]])*Table1[[#This Row],[Quantity]]</f>
        <v>3005</v>
      </c>
      <c r="P339">
        <f t="shared" si="5"/>
        <v>8505</v>
      </c>
      <c r="Q339" t="str">
        <f>TEXT(Table1[[#This Row],[Order_Date]],"mmm-yyyy")</f>
        <v>Mar-2024</v>
      </c>
    </row>
    <row r="340" spans="1:17" x14ac:dyDescent="0.35">
      <c r="A340" t="s">
        <v>598</v>
      </c>
      <c r="B340" t="s">
        <v>585</v>
      </c>
      <c r="C340" t="s">
        <v>45</v>
      </c>
      <c r="D340" t="s">
        <v>37</v>
      </c>
      <c r="E340" t="s">
        <v>33</v>
      </c>
      <c r="F340" t="s">
        <v>18</v>
      </c>
      <c r="G340">
        <v>3</v>
      </c>
      <c r="H340">
        <v>1298</v>
      </c>
      <c r="I340" t="str">
        <f>VLOOKUP(D340,Product_Master!A:D,2,FALSE)</f>
        <v>Mobile</v>
      </c>
      <c r="J340" t="str">
        <f>VLOOKUP(D340,Product_Master!A:D,3,FALSE)</f>
        <v>Electronics</v>
      </c>
      <c r="K340">
        <f>VLOOKUP(D340,Product_Master!A:D,4,FALSE)</f>
        <v>600</v>
      </c>
      <c r="L340" t="str">
        <f>VLOOKUP(C340,Customer_Master!A:C,2,FALSE)</f>
        <v>TCS</v>
      </c>
      <c r="M340" t="str">
        <f>VLOOKUP(C340,Customer_Master!A:C,3,FALSE)</f>
        <v>Corporate</v>
      </c>
      <c r="N340">
        <f>Table1[[#This Row],[Quantity]]*Table1[[#This Row],[Unit_Price]]</f>
        <v>3894</v>
      </c>
      <c r="O340">
        <f>(Table1[[#This Row],[Unit_Price]]-Table1[[#This Row],[Cost_Price]])*Table1[[#This Row],[Quantity]]</f>
        <v>2094</v>
      </c>
      <c r="P340">
        <f t="shared" si="5"/>
        <v>3894</v>
      </c>
      <c r="Q340" t="str">
        <f>TEXT(Table1[[#This Row],[Order_Date]],"mmm-yyyy")</f>
        <v>Oct-2024</v>
      </c>
    </row>
    <row r="341" spans="1:17" x14ac:dyDescent="0.35">
      <c r="A341" t="s">
        <v>599</v>
      </c>
      <c r="B341" t="s">
        <v>600</v>
      </c>
      <c r="C341" t="s">
        <v>42</v>
      </c>
      <c r="D341" t="s">
        <v>26</v>
      </c>
      <c r="E341" t="s">
        <v>27</v>
      </c>
      <c r="F341" t="s">
        <v>23</v>
      </c>
      <c r="G341">
        <v>6</v>
      </c>
      <c r="H341">
        <v>1345</v>
      </c>
      <c r="I341" t="str">
        <f>VLOOKUP(D341,Product_Master!A:D,2,FALSE)</f>
        <v>Laptop</v>
      </c>
      <c r="J341" t="str">
        <f>VLOOKUP(D341,Product_Master!A:D,3,FALSE)</f>
        <v>Electronics</v>
      </c>
      <c r="K341">
        <f>VLOOKUP(D341,Product_Master!A:D,4,FALSE)</f>
        <v>900</v>
      </c>
      <c r="L341" t="str">
        <f>VLOOKUP(C341,Customer_Master!A:C,2,FALSE)</f>
        <v>Ramesh</v>
      </c>
      <c r="M341" t="str">
        <f>VLOOKUP(C341,Customer_Master!A:C,3,FALSE)</f>
        <v>Consumer</v>
      </c>
      <c r="N341">
        <f>Table1[[#This Row],[Quantity]]*Table1[[#This Row],[Unit_Price]]</f>
        <v>8070</v>
      </c>
      <c r="O341">
        <f>(Table1[[#This Row],[Unit_Price]]-Table1[[#This Row],[Cost_Price]])*Table1[[#This Row],[Quantity]]</f>
        <v>2670</v>
      </c>
      <c r="P341">
        <f t="shared" si="5"/>
        <v>8070</v>
      </c>
      <c r="Q341" t="str">
        <f>TEXT(Table1[[#This Row],[Order_Date]],"mmm-yyyy")</f>
        <v>Jan-2024</v>
      </c>
    </row>
    <row r="342" spans="1:17" x14ac:dyDescent="0.35">
      <c r="A342" t="s">
        <v>601</v>
      </c>
      <c r="B342" t="s">
        <v>202</v>
      </c>
      <c r="C342" t="s">
        <v>42</v>
      </c>
      <c r="D342" t="s">
        <v>16</v>
      </c>
      <c r="E342" t="s">
        <v>17</v>
      </c>
      <c r="F342" t="s">
        <v>23</v>
      </c>
      <c r="G342">
        <v>1</v>
      </c>
      <c r="H342">
        <v>1487</v>
      </c>
      <c r="I342" t="str">
        <f>VLOOKUP(D342,Product_Master!A:D,2,FALSE)</f>
        <v>Printer</v>
      </c>
      <c r="J342" t="str">
        <f>VLOOKUP(D342,Product_Master!A:D,3,FALSE)</f>
        <v>Electronics</v>
      </c>
      <c r="K342">
        <f>VLOOKUP(D342,Product_Master!A:D,4,FALSE)</f>
        <v>1100</v>
      </c>
      <c r="L342" t="str">
        <f>VLOOKUP(C342,Customer_Master!A:C,2,FALSE)</f>
        <v>Ramesh</v>
      </c>
      <c r="M342" t="str">
        <f>VLOOKUP(C342,Customer_Master!A:C,3,FALSE)</f>
        <v>Consumer</v>
      </c>
      <c r="N342">
        <f>Table1[[#This Row],[Quantity]]*Table1[[#This Row],[Unit_Price]]</f>
        <v>1487</v>
      </c>
      <c r="O342">
        <f>(Table1[[#This Row],[Unit_Price]]-Table1[[#This Row],[Cost_Price]])*Table1[[#This Row],[Quantity]]</f>
        <v>387</v>
      </c>
      <c r="P342">
        <f t="shared" si="5"/>
        <v>1487</v>
      </c>
      <c r="Q342" t="str">
        <f>TEXT(Table1[[#This Row],[Order_Date]],"mmm-yyyy")</f>
        <v>Apr-2024</v>
      </c>
    </row>
    <row r="343" spans="1:17" x14ac:dyDescent="0.35">
      <c r="A343" t="s">
        <v>602</v>
      </c>
      <c r="B343" t="s">
        <v>603</v>
      </c>
      <c r="C343" t="s">
        <v>21</v>
      </c>
      <c r="D343" t="s">
        <v>11</v>
      </c>
      <c r="E343" t="s">
        <v>27</v>
      </c>
      <c r="F343" t="s">
        <v>34</v>
      </c>
      <c r="G343">
        <v>9</v>
      </c>
      <c r="H343">
        <v>1201</v>
      </c>
      <c r="I343" t="str">
        <f>VLOOKUP(D343,Product_Master!A:D,2,FALSE)</f>
        <v>Chair</v>
      </c>
      <c r="J343" t="str">
        <f>VLOOKUP(D343,Product_Master!A:D,3,FALSE)</f>
        <v>Furniture</v>
      </c>
      <c r="K343">
        <f>VLOOKUP(D343,Product_Master!A:D,4,FALSE)</f>
        <v>150</v>
      </c>
      <c r="L343" t="str">
        <f>VLOOKUP(C343,Customer_Master!A:C,2,FALSE)</f>
        <v>Reliance</v>
      </c>
      <c r="M343" t="str">
        <f>VLOOKUP(C343,Customer_Master!A:C,3,FALSE)</f>
        <v>Corporate</v>
      </c>
      <c r="N343">
        <f>Table1[[#This Row],[Quantity]]*Table1[[#This Row],[Unit_Price]]</f>
        <v>10809</v>
      </c>
      <c r="O343">
        <f>(Table1[[#This Row],[Unit_Price]]-Table1[[#This Row],[Cost_Price]])*Table1[[#This Row],[Quantity]]</f>
        <v>9459</v>
      </c>
      <c r="P343">
        <f t="shared" si="5"/>
        <v>10809</v>
      </c>
      <c r="Q343" t="str">
        <f>TEXT(Table1[[#This Row],[Order_Date]],"mmm-yyyy")</f>
        <v>Aug-2024</v>
      </c>
    </row>
    <row r="344" spans="1:17" x14ac:dyDescent="0.35">
      <c r="A344" t="s">
        <v>604</v>
      </c>
      <c r="B344" t="s">
        <v>605</v>
      </c>
      <c r="C344" t="s">
        <v>30</v>
      </c>
      <c r="D344" t="s">
        <v>11</v>
      </c>
      <c r="E344" t="s">
        <v>17</v>
      </c>
      <c r="F344" t="s">
        <v>13</v>
      </c>
      <c r="G344">
        <v>10</v>
      </c>
      <c r="H344">
        <v>1293</v>
      </c>
      <c r="I344" t="str">
        <f>VLOOKUP(D344,Product_Master!A:D,2,FALSE)</f>
        <v>Chair</v>
      </c>
      <c r="J344" t="str">
        <f>VLOOKUP(D344,Product_Master!A:D,3,FALSE)</f>
        <v>Furniture</v>
      </c>
      <c r="K344">
        <f>VLOOKUP(D344,Product_Master!A:D,4,FALSE)</f>
        <v>150</v>
      </c>
      <c r="L344" t="str">
        <f>VLOOKUP(C344,Customer_Master!A:C,2,FALSE)</f>
        <v>Infosys</v>
      </c>
      <c r="M344" t="str">
        <f>VLOOKUP(C344,Customer_Master!A:C,3,FALSE)</f>
        <v>Corporate</v>
      </c>
      <c r="N344">
        <f>Table1[[#This Row],[Quantity]]*Table1[[#This Row],[Unit_Price]]</f>
        <v>12930</v>
      </c>
      <c r="O344">
        <f>(Table1[[#This Row],[Unit_Price]]-Table1[[#This Row],[Cost_Price]])*Table1[[#This Row],[Quantity]]</f>
        <v>11430</v>
      </c>
      <c r="P344">
        <f t="shared" si="5"/>
        <v>12930</v>
      </c>
      <c r="Q344" t="str">
        <f>TEXT(Table1[[#This Row],[Order_Date]],"mmm-yyyy")</f>
        <v>Aug-2024</v>
      </c>
    </row>
    <row r="345" spans="1:17" x14ac:dyDescent="0.35">
      <c r="A345" t="s">
        <v>606</v>
      </c>
      <c r="B345" t="s">
        <v>111</v>
      </c>
      <c r="C345" t="s">
        <v>42</v>
      </c>
      <c r="D345" t="s">
        <v>22</v>
      </c>
      <c r="E345" t="s">
        <v>27</v>
      </c>
      <c r="F345" t="s">
        <v>13</v>
      </c>
      <c r="G345">
        <v>1</v>
      </c>
      <c r="H345">
        <v>1309</v>
      </c>
      <c r="I345" t="str">
        <f>VLOOKUP(D345,Product_Master!A:D,2,FALSE)</f>
        <v>Desk</v>
      </c>
      <c r="J345" t="str">
        <f>VLOOKUP(D345,Product_Master!A:D,3,FALSE)</f>
        <v>Furniture</v>
      </c>
      <c r="K345">
        <f>VLOOKUP(D345,Product_Master!A:D,4,FALSE)</f>
        <v>300</v>
      </c>
      <c r="L345" t="str">
        <f>VLOOKUP(C345,Customer_Master!A:C,2,FALSE)</f>
        <v>Ramesh</v>
      </c>
      <c r="M345" t="str">
        <f>VLOOKUP(C345,Customer_Master!A:C,3,FALSE)</f>
        <v>Consumer</v>
      </c>
      <c r="N345">
        <f>Table1[[#This Row],[Quantity]]*Table1[[#This Row],[Unit_Price]]</f>
        <v>1309</v>
      </c>
      <c r="O345">
        <f>(Table1[[#This Row],[Unit_Price]]-Table1[[#This Row],[Cost_Price]])*Table1[[#This Row],[Quantity]]</f>
        <v>1009</v>
      </c>
      <c r="P345">
        <f t="shared" si="5"/>
        <v>1309</v>
      </c>
      <c r="Q345" t="str">
        <f>TEXT(Table1[[#This Row],[Order_Date]],"mmm-yyyy")</f>
        <v>Oct-2024</v>
      </c>
    </row>
    <row r="346" spans="1:17" x14ac:dyDescent="0.35">
      <c r="A346" t="s">
        <v>607</v>
      </c>
      <c r="B346" t="s">
        <v>407</v>
      </c>
      <c r="C346" t="s">
        <v>30</v>
      </c>
      <c r="D346" t="s">
        <v>11</v>
      </c>
      <c r="E346" t="s">
        <v>12</v>
      </c>
      <c r="F346" t="s">
        <v>13</v>
      </c>
      <c r="G346">
        <v>2</v>
      </c>
      <c r="H346">
        <v>1140</v>
      </c>
      <c r="I346" t="str">
        <f>VLOOKUP(D346,Product_Master!A:D,2,FALSE)</f>
        <v>Chair</v>
      </c>
      <c r="J346" t="str">
        <f>VLOOKUP(D346,Product_Master!A:D,3,FALSE)</f>
        <v>Furniture</v>
      </c>
      <c r="K346">
        <f>VLOOKUP(D346,Product_Master!A:D,4,FALSE)</f>
        <v>150</v>
      </c>
      <c r="L346" t="str">
        <f>VLOOKUP(C346,Customer_Master!A:C,2,FALSE)</f>
        <v>Infosys</v>
      </c>
      <c r="M346" t="str">
        <f>VLOOKUP(C346,Customer_Master!A:C,3,FALSE)</f>
        <v>Corporate</v>
      </c>
      <c r="N346">
        <f>Table1[[#This Row],[Quantity]]*Table1[[#This Row],[Unit_Price]]</f>
        <v>2280</v>
      </c>
      <c r="O346">
        <f>(Table1[[#This Row],[Unit_Price]]-Table1[[#This Row],[Cost_Price]])*Table1[[#This Row],[Quantity]]</f>
        <v>1980</v>
      </c>
      <c r="P346">
        <f t="shared" si="5"/>
        <v>2280</v>
      </c>
      <c r="Q346" t="str">
        <f>TEXT(Table1[[#This Row],[Order_Date]],"mmm-yyyy")</f>
        <v>Mar-2024</v>
      </c>
    </row>
    <row r="347" spans="1:17" x14ac:dyDescent="0.35">
      <c r="A347" t="s">
        <v>608</v>
      </c>
      <c r="B347" t="s">
        <v>609</v>
      </c>
      <c r="C347" t="s">
        <v>10</v>
      </c>
      <c r="D347" t="s">
        <v>37</v>
      </c>
      <c r="E347" t="s">
        <v>17</v>
      </c>
      <c r="F347" t="s">
        <v>34</v>
      </c>
      <c r="G347">
        <v>8</v>
      </c>
      <c r="H347">
        <v>1572</v>
      </c>
      <c r="I347" t="str">
        <f>VLOOKUP(D347,Product_Master!A:D,2,FALSE)</f>
        <v>Mobile</v>
      </c>
      <c r="J347" t="str">
        <f>VLOOKUP(D347,Product_Master!A:D,3,FALSE)</f>
        <v>Electronics</v>
      </c>
      <c r="K347">
        <f>VLOOKUP(D347,Product_Master!A:D,4,FALSE)</f>
        <v>600</v>
      </c>
      <c r="L347" t="str">
        <f>VLOOKUP(C347,Customer_Master!A:C,2,FALSE)</f>
        <v>Suresh</v>
      </c>
      <c r="M347" t="str">
        <f>VLOOKUP(C347,Customer_Master!A:C,3,FALSE)</f>
        <v>Consumer</v>
      </c>
      <c r="N347">
        <f>Table1[[#This Row],[Quantity]]*Table1[[#This Row],[Unit_Price]]</f>
        <v>12576</v>
      </c>
      <c r="O347">
        <f>(Table1[[#This Row],[Unit_Price]]-Table1[[#This Row],[Cost_Price]])*Table1[[#This Row],[Quantity]]</f>
        <v>7776</v>
      </c>
      <c r="P347">
        <f t="shared" si="5"/>
        <v>12576</v>
      </c>
      <c r="Q347" t="str">
        <f>TEXT(Table1[[#This Row],[Order_Date]],"mmm-yyyy")</f>
        <v>Apr-2024</v>
      </c>
    </row>
    <row r="348" spans="1:17" x14ac:dyDescent="0.35">
      <c r="A348" t="s">
        <v>610</v>
      </c>
      <c r="B348" t="s">
        <v>135</v>
      </c>
      <c r="C348" t="s">
        <v>21</v>
      </c>
      <c r="D348" t="s">
        <v>16</v>
      </c>
      <c r="E348" t="s">
        <v>12</v>
      </c>
      <c r="F348" t="s">
        <v>18</v>
      </c>
      <c r="G348">
        <v>2</v>
      </c>
      <c r="H348">
        <v>1330</v>
      </c>
      <c r="I348" t="str">
        <f>VLOOKUP(D348,Product_Master!A:D,2,FALSE)</f>
        <v>Printer</v>
      </c>
      <c r="J348" t="str">
        <f>VLOOKUP(D348,Product_Master!A:D,3,FALSE)</f>
        <v>Electronics</v>
      </c>
      <c r="K348">
        <f>VLOOKUP(D348,Product_Master!A:D,4,FALSE)</f>
        <v>1100</v>
      </c>
      <c r="L348" t="str">
        <f>VLOOKUP(C348,Customer_Master!A:C,2,FALSE)</f>
        <v>Reliance</v>
      </c>
      <c r="M348" t="str">
        <f>VLOOKUP(C348,Customer_Master!A:C,3,FALSE)</f>
        <v>Corporate</v>
      </c>
      <c r="N348">
        <f>Table1[[#This Row],[Quantity]]*Table1[[#This Row],[Unit_Price]]</f>
        <v>2660</v>
      </c>
      <c r="O348">
        <f>(Table1[[#This Row],[Unit_Price]]-Table1[[#This Row],[Cost_Price]])*Table1[[#This Row],[Quantity]]</f>
        <v>460</v>
      </c>
      <c r="P348">
        <f t="shared" si="5"/>
        <v>2660</v>
      </c>
      <c r="Q348" t="str">
        <f>TEXT(Table1[[#This Row],[Order_Date]],"mmm-yyyy")</f>
        <v>Jul-2024</v>
      </c>
    </row>
    <row r="349" spans="1:17" x14ac:dyDescent="0.35">
      <c r="A349" t="s">
        <v>611</v>
      </c>
      <c r="B349" t="s">
        <v>102</v>
      </c>
      <c r="C349" t="s">
        <v>21</v>
      </c>
      <c r="D349" t="s">
        <v>11</v>
      </c>
      <c r="E349" t="s">
        <v>33</v>
      </c>
      <c r="F349" t="s">
        <v>23</v>
      </c>
      <c r="G349">
        <v>3</v>
      </c>
      <c r="H349">
        <v>1884</v>
      </c>
      <c r="I349" t="str">
        <f>VLOOKUP(D349,Product_Master!A:D,2,FALSE)</f>
        <v>Chair</v>
      </c>
      <c r="J349" t="str">
        <f>VLOOKUP(D349,Product_Master!A:D,3,FALSE)</f>
        <v>Furniture</v>
      </c>
      <c r="K349">
        <f>VLOOKUP(D349,Product_Master!A:D,4,FALSE)</f>
        <v>150</v>
      </c>
      <c r="L349" t="str">
        <f>VLOOKUP(C349,Customer_Master!A:C,2,FALSE)</f>
        <v>Reliance</v>
      </c>
      <c r="M349" t="str">
        <f>VLOOKUP(C349,Customer_Master!A:C,3,FALSE)</f>
        <v>Corporate</v>
      </c>
      <c r="N349">
        <f>Table1[[#This Row],[Quantity]]*Table1[[#This Row],[Unit_Price]]</f>
        <v>5652</v>
      </c>
      <c r="O349">
        <f>(Table1[[#This Row],[Unit_Price]]-Table1[[#This Row],[Cost_Price]])*Table1[[#This Row],[Quantity]]</f>
        <v>5202</v>
      </c>
      <c r="P349">
        <f t="shared" si="5"/>
        <v>5652</v>
      </c>
      <c r="Q349" t="str">
        <f>TEXT(Table1[[#This Row],[Order_Date]],"mmm-yyyy")</f>
        <v>May-2024</v>
      </c>
    </row>
    <row r="350" spans="1:17" x14ac:dyDescent="0.35">
      <c r="A350" t="s">
        <v>612</v>
      </c>
      <c r="B350" t="s">
        <v>613</v>
      </c>
      <c r="C350" t="s">
        <v>30</v>
      </c>
      <c r="D350" t="s">
        <v>16</v>
      </c>
      <c r="E350" t="s">
        <v>33</v>
      </c>
      <c r="F350" t="s">
        <v>18</v>
      </c>
      <c r="G350">
        <v>7</v>
      </c>
      <c r="H350">
        <v>826</v>
      </c>
      <c r="I350" t="str">
        <f>VLOOKUP(D350,Product_Master!A:D,2,FALSE)</f>
        <v>Printer</v>
      </c>
      <c r="J350" t="str">
        <f>VLOOKUP(D350,Product_Master!A:D,3,FALSE)</f>
        <v>Electronics</v>
      </c>
      <c r="K350">
        <f>VLOOKUP(D350,Product_Master!A:D,4,FALSE)</f>
        <v>1100</v>
      </c>
      <c r="L350" t="str">
        <f>VLOOKUP(C350,Customer_Master!A:C,2,FALSE)</f>
        <v>Infosys</v>
      </c>
      <c r="M350" t="str">
        <f>VLOOKUP(C350,Customer_Master!A:C,3,FALSE)</f>
        <v>Corporate</v>
      </c>
      <c r="N350">
        <f>Table1[[#This Row],[Quantity]]*Table1[[#This Row],[Unit_Price]]</f>
        <v>5782</v>
      </c>
      <c r="O350">
        <f>(Table1[[#This Row],[Unit_Price]]-Table1[[#This Row],[Cost_Price]])*Table1[[#This Row],[Quantity]]</f>
        <v>-1918</v>
      </c>
      <c r="P350">
        <f t="shared" si="5"/>
        <v>5782</v>
      </c>
      <c r="Q350" t="str">
        <f>TEXT(Table1[[#This Row],[Order_Date]],"mmm-yyyy")</f>
        <v>Dec-2024</v>
      </c>
    </row>
    <row r="351" spans="1:17" x14ac:dyDescent="0.35">
      <c r="A351" t="s">
        <v>614</v>
      </c>
      <c r="B351" t="s">
        <v>137</v>
      </c>
      <c r="C351" t="s">
        <v>21</v>
      </c>
      <c r="D351" t="s">
        <v>22</v>
      </c>
      <c r="E351" t="s">
        <v>27</v>
      </c>
      <c r="F351" t="s">
        <v>18</v>
      </c>
      <c r="G351">
        <v>5</v>
      </c>
      <c r="H351">
        <v>877</v>
      </c>
      <c r="I351" t="str">
        <f>VLOOKUP(D351,Product_Master!A:D,2,FALSE)</f>
        <v>Desk</v>
      </c>
      <c r="J351" t="str">
        <f>VLOOKUP(D351,Product_Master!A:D,3,FALSE)</f>
        <v>Furniture</v>
      </c>
      <c r="K351">
        <f>VLOOKUP(D351,Product_Master!A:D,4,FALSE)</f>
        <v>300</v>
      </c>
      <c r="L351" t="str">
        <f>VLOOKUP(C351,Customer_Master!A:C,2,FALSE)</f>
        <v>Reliance</v>
      </c>
      <c r="M351" t="str">
        <f>VLOOKUP(C351,Customer_Master!A:C,3,FALSE)</f>
        <v>Corporate</v>
      </c>
      <c r="N351">
        <f>Table1[[#This Row],[Quantity]]*Table1[[#This Row],[Unit_Price]]</f>
        <v>4385</v>
      </c>
      <c r="O351">
        <f>(Table1[[#This Row],[Unit_Price]]-Table1[[#This Row],[Cost_Price]])*Table1[[#This Row],[Quantity]]</f>
        <v>2885</v>
      </c>
      <c r="P351">
        <f t="shared" si="5"/>
        <v>4385</v>
      </c>
      <c r="Q351" t="str">
        <f>TEXT(Table1[[#This Row],[Order_Date]],"mmm-yyyy")</f>
        <v>Oct-2024</v>
      </c>
    </row>
    <row r="352" spans="1:17" x14ac:dyDescent="0.35">
      <c r="A352" t="s">
        <v>615</v>
      </c>
      <c r="B352" t="s">
        <v>96</v>
      </c>
      <c r="C352" t="s">
        <v>30</v>
      </c>
      <c r="D352" t="s">
        <v>26</v>
      </c>
      <c r="E352" t="s">
        <v>33</v>
      </c>
      <c r="F352" t="s">
        <v>23</v>
      </c>
      <c r="G352">
        <v>7</v>
      </c>
      <c r="H352">
        <v>848</v>
      </c>
      <c r="I352" t="str">
        <f>VLOOKUP(D352,Product_Master!A:D,2,FALSE)</f>
        <v>Laptop</v>
      </c>
      <c r="J352" t="str">
        <f>VLOOKUP(D352,Product_Master!A:D,3,FALSE)</f>
        <v>Electronics</v>
      </c>
      <c r="K352">
        <f>VLOOKUP(D352,Product_Master!A:D,4,FALSE)</f>
        <v>900</v>
      </c>
      <c r="L352" t="str">
        <f>VLOOKUP(C352,Customer_Master!A:C,2,FALSE)</f>
        <v>Infosys</v>
      </c>
      <c r="M352" t="str">
        <f>VLOOKUP(C352,Customer_Master!A:C,3,FALSE)</f>
        <v>Corporate</v>
      </c>
      <c r="N352">
        <f>Table1[[#This Row],[Quantity]]*Table1[[#This Row],[Unit_Price]]</f>
        <v>5936</v>
      </c>
      <c r="O352">
        <f>(Table1[[#This Row],[Unit_Price]]-Table1[[#This Row],[Cost_Price]])*Table1[[#This Row],[Quantity]]</f>
        <v>-364</v>
      </c>
      <c r="P352">
        <f t="shared" si="5"/>
        <v>5936</v>
      </c>
      <c r="Q352" t="str">
        <f>TEXT(Table1[[#This Row],[Order_Date]],"mmm-yyyy")</f>
        <v>Jan-2024</v>
      </c>
    </row>
    <row r="353" spans="1:17" x14ac:dyDescent="0.35">
      <c r="A353" t="s">
        <v>616</v>
      </c>
      <c r="B353" t="s">
        <v>474</v>
      </c>
      <c r="C353" t="s">
        <v>10</v>
      </c>
      <c r="D353" t="s">
        <v>37</v>
      </c>
      <c r="E353" t="s">
        <v>17</v>
      </c>
      <c r="F353" t="s">
        <v>13</v>
      </c>
      <c r="G353">
        <v>4</v>
      </c>
      <c r="H353">
        <v>1377</v>
      </c>
      <c r="I353" t="str">
        <f>VLOOKUP(D353,Product_Master!A:D,2,FALSE)</f>
        <v>Mobile</v>
      </c>
      <c r="J353" t="str">
        <f>VLOOKUP(D353,Product_Master!A:D,3,FALSE)</f>
        <v>Electronics</v>
      </c>
      <c r="K353">
        <f>VLOOKUP(D353,Product_Master!A:D,4,FALSE)</f>
        <v>600</v>
      </c>
      <c r="L353" t="str">
        <f>VLOOKUP(C353,Customer_Master!A:C,2,FALSE)</f>
        <v>Suresh</v>
      </c>
      <c r="M353" t="str">
        <f>VLOOKUP(C353,Customer_Master!A:C,3,FALSE)</f>
        <v>Consumer</v>
      </c>
      <c r="N353">
        <f>Table1[[#This Row],[Quantity]]*Table1[[#This Row],[Unit_Price]]</f>
        <v>5508</v>
      </c>
      <c r="O353">
        <f>(Table1[[#This Row],[Unit_Price]]-Table1[[#This Row],[Cost_Price]])*Table1[[#This Row],[Quantity]]</f>
        <v>3108</v>
      </c>
      <c r="P353">
        <f t="shared" si="5"/>
        <v>5508</v>
      </c>
      <c r="Q353" t="str">
        <f>TEXT(Table1[[#This Row],[Order_Date]],"mmm-yyyy")</f>
        <v>May-2024</v>
      </c>
    </row>
    <row r="354" spans="1:17" x14ac:dyDescent="0.35">
      <c r="A354" t="s">
        <v>617</v>
      </c>
      <c r="B354" t="s">
        <v>290</v>
      </c>
      <c r="C354" t="s">
        <v>21</v>
      </c>
      <c r="D354" t="s">
        <v>11</v>
      </c>
      <c r="E354" t="s">
        <v>12</v>
      </c>
      <c r="F354" t="s">
        <v>34</v>
      </c>
      <c r="G354">
        <v>6</v>
      </c>
      <c r="H354">
        <v>1423</v>
      </c>
      <c r="I354" t="str">
        <f>VLOOKUP(D354,Product_Master!A:D,2,FALSE)</f>
        <v>Chair</v>
      </c>
      <c r="J354" t="str">
        <f>VLOOKUP(D354,Product_Master!A:D,3,FALSE)</f>
        <v>Furniture</v>
      </c>
      <c r="K354">
        <f>VLOOKUP(D354,Product_Master!A:D,4,FALSE)</f>
        <v>150</v>
      </c>
      <c r="L354" t="str">
        <f>VLOOKUP(C354,Customer_Master!A:C,2,FALSE)</f>
        <v>Reliance</v>
      </c>
      <c r="M354" t="str">
        <f>VLOOKUP(C354,Customer_Master!A:C,3,FALSE)</f>
        <v>Corporate</v>
      </c>
      <c r="N354">
        <f>Table1[[#This Row],[Quantity]]*Table1[[#This Row],[Unit_Price]]</f>
        <v>8538</v>
      </c>
      <c r="O354">
        <f>(Table1[[#This Row],[Unit_Price]]-Table1[[#This Row],[Cost_Price]])*Table1[[#This Row],[Quantity]]</f>
        <v>7638</v>
      </c>
      <c r="P354">
        <f t="shared" si="5"/>
        <v>8538</v>
      </c>
      <c r="Q354" t="str">
        <f>TEXT(Table1[[#This Row],[Order_Date]],"mmm-yyyy")</f>
        <v>May-2024</v>
      </c>
    </row>
    <row r="355" spans="1:17" x14ac:dyDescent="0.35">
      <c r="A355" t="s">
        <v>618</v>
      </c>
      <c r="B355" t="s">
        <v>619</v>
      </c>
      <c r="C355" t="s">
        <v>45</v>
      </c>
      <c r="D355" t="s">
        <v>37</v>
      </c>
      <c r="E355" t="s">
        <v>17</v>
      </c>
      <c r="F355" t="s">
        <v>18</v>
      </c>
      <c r="G355">
        <v>7</v>
      </c>
      <c r="H355">
        <v>1298</v>
      </c>
      <c r="I355" t="str">
        <f>VLOOKUP(D355,Product_Master!A:D,2,FALSE)</f>
        <v>Mobile</v>
      </c>
      <c r="J355" t="str">
        <f>VLOOKUP(D355,Product_Master!A:D,3,FALSE)</f>
        <v>Electronics</v>
      </c>
      <c r="K355">
        <f>VLOOKUP(D355,Product_Master!A:D,4,FALSE)</f>
        <v>600</v>
      </c>
      <c r="L355" t="str">
        <f>VLOOKUP(C355,Customer_Master!A:C,2,FALSE)</f>
        <v>TCS</v>
      </c>
      <c r="M355" t="str">
        <f>VLOOKUP(C355,Customer_Master!A:C,3,FALSE)</f>
        <v>Corporate</v>
      </c>
      <c r="N355">
        <f>Table1[[#This Row],[Quantity]]*Table1[[#This Row],[Unit_Price]]</f>
        <v>9086</v>
      </c>
      <c r="O355">
        <f>(Table1[[#This Row],[Unit_Price]]-Table1[[#This Row],[Cost_Price]])*Table1[[#This Row],[Quantity]]</f>
        <v>4886</v>
      </c>
      <c r="P355">
        <f t="shared" si="5"/>
        <v>9086</v>
      </c>
      <c r="Q355" t="str">
        <f>TEXT(Table1[[#This Row],[Order_Date]],"mmm-yyyy")</f>
        <v>Mar-2024</v>
      </c>
    </row>
    <row r="356" spans="1:17" x14ac:dyDescent="0.35">
      <c r="A356" t="s">
        <v>620</v>
      </c>
      <c r="B356" t="s">
        <v>478</v>
      </c>
      <c r="C356" t="s">
        <v>10</v>
      </c>
      <c r="D356" t="s">
        <v>26</v>
      </c>
      <c r="E356" t="s">
        <v>17</v>
      </c>
      <c r="F356" t="s">
        <v>18</v>
      </c>
      <c r="G356">
        <v>1</v>
      </c>
      <c r="H356">
        <v>1526</v>
      </c>
      <c r="I356" t="str">
        <f>VLOOKUP(D356,Product_Master!A:D,2,FALSE)</f>
        <v>Laptop</v>
      </c>
      <c r="J356" t="str">
        <f>VLOOKUP(D356,Product_Master!A:D,3,FALSE)</f>
        <v>Electronics</v>
      </c>
      <c r="K356">
        <f>VLOOKUP(D356,Product_Master!A:D,4,FALSE)</f>
        <v>900</v>
      </c>
      <c r="L356" t="str">
        <f>VLOOKUP(C356,Customer_Master!A:C,2,FALSE)</f>
        <v>Suresh</v>
      </c>
      <c r="M356" t="str">
        <f>VLOOKUP(C356,Customer_Master!A:C,3,FALSE)</f>
        <v>Consumer</v>
      </c>
      <c r="N356">
        <f>Table1[[#This Row],[Quantity]]*Table1[[#This Row],[Unit_Price]]</f>
        <v>1526</v>
      </c>
      <c r="O356">
        <f>(Table1[[#This Row],[Unit_Price]]-Table1[[#This Row],[Cost_Price]])*Table1[[#This Row],[Quantity]]</f>
        <v>626</v>
      </c>
      <c r="P356">
        <f t="shared" si="5"/>
        <v>1526</v>
      </c>
      <c r="Q356" t="str">
        <f>TEXT(Table1[[#This Row],[Order_Date]],"mmm-yyyy")</f>
        <v>Jul-2024</v>
      </c>
    </row>
    <row r="357" spans="1:17" x14ac:dyDescent="0.35">
      <c r="A357" t="s">
        <v>621</v>
      </c>
      <c r="B357" t="s">
        <v>622</v>
      </c>
      <c r="C357" t="s">
        <v>10</v>
      </c>
      <c r="D357" t="s">
        <v>11</v>
      </c>
      <c r="E357" t="s">
        <v>17</v>
      </c>
      <c r="F357" t="s">
        <v>23</v>
      </c>
      <c r="G357">
        <v>10</v>
      </c>
      <c r="H357">
        <v>1679</v>
      </c>
      <c r="I357" t="str">
        <f>VLOOKUP(D357,Product_Master!A:D,2,FALSE)</f>
        <v>Chair</v>
      </c>
      <c r="J357" t="str">
        <f>VLOOKUP(D357,Product_Master!A:D,3,FALSE)</f>
        <v>Furniture</v>
      </c>
      <c r="K357">
        <f>VLOOKUP(D357,Product_Master!A:D,4,FALSE)</f>
        <v>150</v>
      </c>
      <c r="L357" t="str">
        <f>VLOOKUP(C357,Customer_Master!A:C,2,FALSE)</f>
        <v>Suresh</v>
      </c>
      <c r="M357" t="str">
        <f>VLOOKUP(C357,Customer_Master!A:C,3,FALSE)</f>
        <v>Consumer</v>
      </c>
      <c r="N357">
        <f>Table1[[#This Row],[Quantity]]*Table1[[#This Row],[Unit_Price]]</f>
        <v>16790</v>
      </c>
      <c r="O357">
        <f>(Table1[[#This Row],[Unit_Price]]-Table1[[#This Row],[Cost_Price]])*Table1[[#This Row],[Quantity]]</f>
        <v>15290</v>
      </c>
      <c r="P357">
        <f t="shared" si="5"/>
        <v>16790</v>
      </c>
      <c r="Q357" t="str">
        <f>TEXT(Table1[[#This Row],[Order_Date]],"mmm-yyyy")</f>
        <v>May-2024</v>
      </c>
    </row>
    <row r="358" spans="1:17" x14ac:dyDescent="0.35">
      <c r="A358" t="s">
        <v>623</v>
      </c>
      <c r="B358" t="s">
        <v>219</v>
      </c>
      <c r="C358" t="s">
        <v>42</v>
      </c>
      <c r="D358" t="s">
        <v>11</v>
      </c>
      <c r="E358" t="s">
        <v>33</v>
      </c>
      <c r="F358" t="s">
        <v>18</v>
      </c>
      <c r="G358">
        <v>10</v>
      </c>
      <c r="H358">
        <v>1022</v>
      </c>
      <c r="I358" t="str">
        <f>VLOOKUP(D358,Product_Master!A:D,2,FALSE)</f>
        <v>Chair</v>
      </c>
      <c r="J358" t="str">
        <f>VLOOKUP(D358,Product_Master!A:D,3,FALSE)</f>
        <v>Furniture</v>
      </c>
      <c r="K358">
        <f>VLOOKUP(D358,Product_Master!A:D,4,FALSE)</f>
        <v>150</v>
      </c>
      <c r="L358" t="str">
        <f>VLOOKUP(C358,Customer_Master!A:C,2,FALSE)</f>
        <v>Ramesh</v>
      </c>
      <c r="M358" t="str">
        <f>VLOOKUP(C358,Customer_Master!A:C,3,FALSE)</f>
        <v>Consumer</v>
      </c>
      <c r="N358">
        <f>Table1[[#This Row],[Quantity]]*Table1[[#This Row],[Unit_Price]]</f>
        <v>10220</v>
      </c>
      <c r="O358">
        <f>(Table1[[#This Row],[Unit_Price]]-Table1[[#This Row],[Cost_Price]])*Table1[[#This Row],[Quantity]]</f>
        <v>8720</v>
      </c>
      <c r="P358">
        <f t="shared" si="5"/>
        <v>10220</v>
      </c>
      <c r="Q358" t="str">
        <f>TEXT(Table1[[#This Row],[Order_Date]],"mmm-yyyy")</f>
        <v>Jun-2024</v>
      </c>
    </row>
    <row r="359" spans="1:17" x14ac:dyDescent="0.35">
      <c r="A359" t="s">
        <v>624</v>
      </c>
      <c r="B359" t="s">
        <v>143</v>
      </c>
      <c r="C359" t="s">
        <v>10</v>
      </c>
      <c r="D359" t="s">
        <v>11</v>
      </c>
      <c r="E359" t="s">
        <v>27</v>
      </c>
      <c r="F359" t="s">
        <v>18</v>
      </c>
      <c r="G359">
        <v>7</v>
      </c>
      <c r="H359">
        <v>1306</v>
      </c>
      <c r="I359" t="str">
        <f>VLOOKUP(D359,Product_Master!A:D,2,FALSE)</f>
        <v>Chair</v>
      </c>
      <c r="J359" t="str">
        <f>VLOOKUP(D359,Product_Master!A:D,3,FALSE)</f>
        <v>Furniture</v>
      </c>
      <c r="K359">
        <f>VLOOKUP(D359,Product_Master!A:D,4,FALSE)</f>
        <v>150</v>
      </c>
      <c r="L359" t="str">
        <f>VLOOKUP(C359,Customer_Master!A:C,2,FALSE)</f>
        <v>Suresh</v>
      </c>
      <c r="M359" t="str">
        <f>VLOOKUP(C359,Customer_Master!A:C,3,FALSE)</f>
        <v>Consumer</v>
      </c>
      <c r="N359">
        <f>Table1[[#This Row],[Quantity]]*Table1[[#This Row],[Unit_Price]]</f>
        <v>9142</v>
      </c>
      <c r="O359">
        <f>(Table1[[#This Row],[Unit_Price]]-Table1[[#This Row],[Cost_Price]])*Table1[[#This Row],[Quantity]]</f>
        <v>8092</v>
      </c>
      <c r="P359">
        <f t="shared" si="5"/>
        <v>9142</v>
      </c>
      <c r="Q359" t="str">
        <f>TEXT(Table1[[#This Row],[Order_Date]],"mmm-yyyy")</f>
        <v>May-2024</v>
      </c>
    </row>
    <row r="360" spans="1:17" x14ac:dyDescent="0.35">
      <c r="A360" t="s">
        <v>625</v>
      </c>
      <c r="B360" t="s">
        <v>501</v>
      </c>
      <c r="C360" t="s">
        <v>42</v>
      </c>
      <c r="D360" t="s">
        <v>11</v>
      </c>
      <c r="E360" t="s">
        <v>33</v>
      </c>
      <c r="F360" t="s">
        <v>34</v>
      </c>
      <c r="G360">
        <v>3</v>
      </c>
      <c r="H360">
        <v>994</v>
      </c>
      <c r="I360" t="str">
        <f>VLOOKUP(D360,Product_Master!A:D,2,FALSE)</f>
        <v>Chair</v>
      </c>
      <c r="J360" t="str">
        <f>VLOOKUP(D360,Product_Master!A:D,3,FALSE)</f>
        <v>Furniture</v>
      </c>
      <c r="K360">
        <f>VLOOKUP(D360,Product_Master!A:D,4,FALSE)</f>
        <v>150</v>
      </c>
      <c r="L360" t="str">
        <f>VLOOKUP(C360,Customer_Master!A:C,2,FALSE)</f>
        <v>Ramesh</v>
      </c>
      <c r="M360" t="str">
        <f>VLOOKUP(C360,Customer_Master!A:C,3,FALSE)</f>
        <v>Consumer</v>
      </c>
      <c r="N360">
        <f>Table1[[#This Row],[Quantity]]*Table1[[#This Row],[Unit_Price]]</f>
        <v>2982</v>
      </c>
      <c r="O360">
        <f>(Table1[[#This Row],[Unit_Price]]-Table1[[#This Row],[Cost_Price]])*Table1[[#This Row],[Quantity]]</f>
        <v>2532</v>
      </c>
      <c r="P360">
        <f t="shared" si="5"/>
        <v>2982</v>
      </c>
      <c r="Q360" t="str">
        <f>TEXT(Table1[[#This Row],[Order_Date]],"mmm-yyyy")</f>
        <v>Jun-2024</v>
      </c>
    </row>
    <row r="361" spans="1:17" x14ac:dyDescent="0.35">
      <c r="A361" t="s">
        <v>626</v>
      </c>
      <c r="B361" t="s">
        <v>271</v>
      </c>
      <c r="C361" t="s">
        <v>45</v>
      </c>
      <c r="D361" t="s">
        <v>22</v>
      </c>
      <c r="E361" t="s">
        <v>27</v>
      </c>
      <c r="F361" t="s">
        <v>34</v>
      </c>
      <c r="G361">
        <v>3</v>
      </c>
      <c r="H361">
        <v>1988</v>
      </c>
      <c r="I361" t="str">
        <f>VLOOKUP(D361,Product_Master!A:D,2,FALSE)</f>
        <v>Desk</v>
      </c>
      <c r="J361" t="str">
        <f>VLOOKUP(D361,Product_Master!A:D,3,FALSE)</f>
        <v>Furniture</v>
      </c>
      <c r="K361">
        <f>VLOOKUP(D361,Product_Master!A:D,4,FALSE)</f>
        <v>300</v>
      </c>
      <c r="L361" t="str">
        <f>VLOOKUP(C361,Customer_Master!A:C,2,FALSE)</f>
        <v>TCS</v>
      </c>
      <c r="M361" t="str">
        <f>VLOOKUP(C361,Customer_Master!A:C,3,FALSE)</f>
        <v>Corporate</v>
      </c>
      <c r="N361">
        <f>Table1[[#This Row],[Quantity]]*Table1[[#This Row],[Unit_Price]]</f>
        <v>5964</v>
      </c>
      <c r="O361">
        <f>(Table1[[#This Row],[Unit_Price]]-Table1[[#This Row],[Cost_Price]])*Table1[[#This Row],[Quantity]]</f>
        <v>5064</v>
      </c>
      <c r="P361">
        <f t="shared" si="5"/>
        <v>5964</v>
      </c>
      <c r="Q361" t="str">
        <f>TEXT(Table1[[#This Row],[Order_Date]],"mmm-yyyy")</f>
        <v>Sep-2024</v>
      </c>
    </row>
    <row r="362" spans="1:17" x14ac:dyDescent="0.35">
      <c r="A362" t="s">
        <v>627</v>
      </c>
      <c r="B362" t="s">
        <v>628</v>
      </c>
      <c r="C362" t="s">
        <v>45</v>
      </c>
      <c r="D362" t="s">
        <v>11</v>
      </c>
      <c r="E362" t="s">
        <v>12</v>
      </c>
      <c r="F362" t="s">
        <v>23</v>
      </c>
      <c r="G362">
        <v>5</v>
      </c>
      <c r="H362">
        <v>1795</v>
      </c>
      <c r="I362" t="str">
        <f>VLOOKUP(D362,Product_Master!A:D,2,FALSE)</f>
        <v>Chair</v>
      </c>
      <c r="J362" t="str">
        <f>VLOOKUP(D362,Product_Master!A:D,3,FALSE)</f>
        <v>Furniture</v>
      </c>
      <c r="K362">
        <f>VLOOKUP(D362,Product_Master!A:D,4,FALSE)</f>
        <v>150</v>
      </c>
      <c r="L362" t="str">
        <f>VLOOKUP(C362,Customer_Master!A:C,2,FALSE)</f>
        <v>TCS</v>
      </c>
      <c r="M362" t="str">
        <f>VLOOKUP(C362,Customer_Master!A:C,3,FALSE)</f>
        <v>Corporate</v>
      </c>
      <c r="N362">
        <f>Table1[[#This Row],[Quantity]]*Table1[[#This Row],[Unit_Price]]</f>
        <v>8975</v>
      </c>
      <c r="O362">
        <f>(Table1[[#This Row],[Unit_Price]]-Table1[[#This Row],[Cost_Price]])*Table1[[#This Row],[Quantity]]</f>
        <v>8225</v>
      </c>
      <c r="P362">
        <f t="shared" si="5"/>
        <v>8975</v>
      </c>
      <c r="Q362" t="str">
        <f>TEXT(Table1[[#This Row],[Order_Date]],"mmm-yyyy")</f>
        <v>Aug-2024</v>
      </c>
    </row>
    <row r="363" spans="1:17" x14ac:dyDescent="0.35">
      <c r="A363" t="s">
        <v>629</v>
      </c>
      <c r="B363" t="s">
        <v>630</v>
      </c>
      <c r="C363" t="s">
        <v>45</v>
      </c>
      <c r="D363" t="s">
        <v>11</v>
      </c>
      <c r="E363" t="s">
        <v>12</v>
      </c>
      <c r="F363" t="s">
        <v>23</v>
      </c>
      <c r="G363">
        <v>7</v>
      </c>
      <c r="H363">
        <v>1853</v>
      </c>
      <c r="I363" t="str">
        <f>VLOOKUP(D363,Product_Master!A:D,2,FALSE)</f>
        <v>Chair</v>
      </c>
      <c r="J363" t="str">
        <f>VLOOKUP(D363,Product_Master!A:D,3,FALSE)</f>
        <v>Furniture</v>
      </c>
      <c r="K363">
        <f>VLOOKUP(D363,Product_Master!A:D,4,FALSE)</f>
        <v>150</v>
      </c>
      <c r="L363" t="str">
        <f>VLOOKUP(C363,Customer_Master!A:C,2,FALSE)</f>
        <v>TCS</v>
      </c>
      <c r="M363" t="str">
        <f>VLOOKUP(C363,Customer_Master!A:C,3,FALSE)</f>
        <v>Corporate</v>
      </c>
      <c r="N363">
        <f>Table1[[#This Row],[Quantity]]*Table1[[#This Row],[Unit_Price]]</f>
        <v>12971</v>
      </c>
      <c r="O363">
        <f>(Table1[[#This Row],[Unit_Price]]-Table1[[#This Row],[Cost_Price]])*Table1[[#This Row],[Quantity]]</f>
        <v>11921</v>
      </c>
      <c r="P363">
        <f t="shared" si="5"/>
        <v>12971</v>
      </c>
      <c r="Q363" t="str">
        <f>TEXT(Table1[[#This Row],[Order_Date]],"mmm-yyyy")</f>
        <v>Jul-2024</v>
      </c>
    </row>
    <row r="364" spans="1:17" x14ac:dyDescent="0.35">
      <c r="A364" t="s">
        <v>631</v>
      </c>
      <c r="B364" t="s">
        <v>294</v>
      </c>
      <c r="C364" t="s">
        <v>10</v>
      </c>
      <c r="D364" t="s">
        <v>37</v>
      </c>
      <c r="E364" t="s">
        <v>27</v>
      </c>
      <c r="F364" t="s">
        <v>34</v>
      </c>
      <c r="G364">
        <v>3</v>
      </c>
      <c r="H364">
        <v>1001</v>
      </c>
      <c r="I364" t="str">
        <f>VLOOKUP(D364,Product_Master!A:D,2,FALSE)</f>
        <v>Mobile</v>
      </c>
      <c r="J364" t="str">
        <f>VLOOKUP(D364,Product_Master!A:D,3,FALSE)</f>
        <v>Electronics</v>
      </c>
      <c r="K364">
        <f>VLOOKUP(D364,Product_Master!A:D,4,FALSE)</f>
        <v>600</v>
      </c>
      <c r="L364" t="str">
        <f>VLOOKUP(C364,Customer_Master!A:C,2,FALSE)</f>
        <v>Suresh</v>
      </c>
      <c r="M364" t="str">
        <f>VLOOKUP(C364,Customer_Master!A:C,3,FALSE)</f>
        <v>Consumer</v>
      </c>
      <c r="N364">
        <f>Table1[[#This Row],[Quantity]]*Table1[[#This Row],[Unit_Price]]</f>
        <v>3003</v>
      </c>
      <c r="O364">
        <f>(Table1[[#This Row],[Unit_Price]]-Table1[[#This Row],[Cost_Price]])*Table1[[#This Row],[Quantity]]</f>
        <v>1203</v>
      </c>
      <c r="P364">
        <f t="shared" si="5"/>
        <v>3003</v>
      </c>
      <c r="Q364" t="str">
        <f>TEXT(Table1[[#This Row],[Order_Date]],"mmm-yyyy")</f>
        <v>Jun-2024</v>
      </c>
    </row>
    <row r="365" spans="1:17" x14ac:dyDescent="0.35">
      <c r="A365" t="s">
        <v>632</v>
      </c>
      <c r="B365" t="s">
        <v>633</v>
      </c>
      <c r="C365" t="s">
        <v>45</v>
      </c>
      <c r="D365" t="s">
        <v>22</v>
      </c>
      <c r="E365" t="s">
        <v>33</v>
      </c>
      <c r="F365" t="s">
        <v>23</v>
      </c>
      <c r="G365">
        <v>6</v>
      </c>
      <c r="H365">
        <v>1598</v>
      </c>
      <c r="I365" t="str">
        <f>VLOOKUP(D365,Product_Master!A:D,2,FALSE)</f>
        <v>Desk</v>
      </c>
      <c r="J365" t="str">
        <f>VLOOKUP(D365,Product_Master!A:D,3,FALSE)</f>
        <v>Furniture</v>
      </c>
      <c r="K365">
        <f>VLOOKUP(D365,Product_Master!A:D,4,FALSE)</f>
        <v>300</v>
      </c>
      <c r="L365" t="str">
        <f>VLOOKUP(C365,Customer_Master!A:C,2,FALSE)</f>
        <v>TCS</v>
      </c>
      <c r="M365" t="str">
        <f>VLOOKUP(C365,Customer_Master!A:C,3,FALSE)</f>
        <v>Corporate</v>
      </c>
      <c r="N365">
        <f>Table1[[#This Row],[Quantity]]*Table1[[#This Row],[Unit_Price]]</f>
        <v>9588</v>
      </c>
      <c r="O365">
        <f>(Table1[[#This Row],[Unit_Price]]-Table1[[#This Row],[Cost_Price]])*Table1[[#This Row],[Quantity]]</f>
        <v>7788</v>
      </c>
      <c r="P365">
        <f t="shared" si="5"/>
        <v>9588</v>
      </c>
      <c r="Q365" t="str">
        <f>TEXT(Table1[[#This Row],[Order_Date]],"mmm-yyyy")</f>
        <v>Dec-2024</v>
      </c>
    </row>
    <row r="366" spans="1:17" x14ac:dyDescent="0.35">
      <c r="A366" t="s">
        <v>634</v>
      </c>
      <c r="B366" t="s">
        <v>563</v>
      </c>
      <c r="C366" t="s">
        <v>42</v>
      </c>
      <c r="D366" t="s">
        <v>16</v>
      </c>
      <c r="E366" t="s">
        <v>27</v>
      </c>
      <c r="F366" t="s">
        <v>18</v>
      </c>
      <c r="G366">
        <v>9</v>
      </c>
      <c r="H366">
        <v>1991</v>
      </c>
      <c r="I366" t="str">
        <f>VLOOKUP(D366,Product_Master!A:D,2,FALSE)</f>
        <v>Printer</v>
      </c>
      <c r="J366" t="str">
        <f>VLOOKUP(D366,Product_Master!A:D,3,FALSE)</f>
        <v>Electronics</v>
      </c>
      <c r="K366">
        <f>VLOOKUP(D366,Product_Master!A:D,4,FALSE)</f>
        <v>1100</v>
      </c>
      <c r="L366" t="str">
        <f>VLOOKUP(C366,Customer_Master!A:C,2,FALSE)</f>
        <v>Ramesh</v>
      </c>
      <c r="M366" t="str">
        <f>VLOOKUP(C366,Customer_Master!A:C,3,FALSE)</f>
        <v>Consumer</v>
      </c>
      <c r="N366">
        <f>Table1[[#This Row],[Quantity]]*Table1[[#This Row],[Unit_Price]]</f>
        <v>17919</v>
      </c>
      <c r="O366">
        <f>(Table1[[#This Row],[Unit_Price]]-Table1[[#This Row],[Cost_Price]])*Table1[[#This Row],[Quantity]]</f>
        <v>8019</v>
      </c>
      <c r="P366">
        <f t="shared" si="5"/>
        <v>17919</v>
      </c>
      <c r="Q366" t="str">
        <f>TEXT(Table1[[#This Row],[Order_Date]],"mmm-yyyy")</f>
        <v>Dec-2024</v>
      </c>
    </row>
    <row r="367" spans="1:17" x14ac:dyDescent="0.35">
      <c r="A367" t="s">
        <v>635</v>
      </c>
      <c r="B367" t="s">
        <v>447</v>
      </c>
      <c r="C367" t="s">
        <v>42</v>
      </c>
      <c r="D367" t="s">
        <v>11</v>
      </c>
      <c r="E367" t="s">
        <v>17</v>
      </c>
      <c r="F367" t="s">
        <v>34</v>
      </c>
      <c r="G367">
        <v>8</v>
      </c>
      <c r="H367">
        <v>955</v>
      </c>
      <c r="I367" t="str">
        <f>VLOOKUP(D367,Product_Master!A:D,2,FALSE)</f>
        <v>Chair</v>
      </c>
      <c r="J367" t="str">
        <f>VLOOKUP(D367,Product_Master!A:D,3,FALSE)</f>
        <v>Furniture</v>
      </c>
      <c r="K367">
        <f>VLOOKUP(D367,Product_Master!A:D,4,FALSE)</f>
        <v>150</v>
      </c>
      <c r="L367" t="str">
        <f>VLOOKUP(C367,Customer_Master!A:C,2,FALSE)</f>
        <v>Ramesh</v>
      </c>
      <c r="M367" t="str">
        <f>VLOOKUP(C367,Customer_Master!A:C,3,FALSE)</f>
        <v>Consumer</v>
      </c>
      <c r="N367">
        <f>Table1[[#This Row],[Quantity]]*Table1[[#This Row],[Unit_Price]]</f>
        <v>7640</v>
      </c>
      <c r="O367">
        <f>(Table1[[#This Row],[Unit_Price]]-Table1[[#This Row],[Cost_Price]])*Table1[[#This Row],[Quantity]]</f>
        <v>6440</v>
      </c>
      <c r="P367">
        <f t="shared" si="5"/>
        <v>7640</v>
      </c>
      <c r="Q367" t="str">
        <f>TEXT(Table1[[#This Row],[Order_Date]],"mmm-yyyy")</f>
        <v>Nov-2024</v>
      </c>
    </row>
    <row r="368" spans="1:17" x14ac:dyDescent="0.35">
      <c r="A368" t="s">
        <v>636</v>
      </c>
      <c r="B368" t="s">
        <v>219</v>
      </c>
      <c r="C368" t="s">
        <v>45</v>
      </c>
      <c r="D368" t="s">
        <v>11</v>
      </c>
      <c r="E368" t="s">
        <v>27</v>
      </c>
      <c r="F368" t="s">
        <v>34</v>
      </c>
      <c r="G368">
        <v>1</v>
      </c>
      <c r="H368">
        <v>1635</v>
      </c>
      <c r="I368" t="str">
        <f>VLOOKUP(D368,Product_Master!A:D,2,FALSE)</f>
        <v>Chair</v>
      </c>
      <c r="J368" t="str">
        <f>VLOOKUP(D368,Product_Master!A:D,3,FALSE)</f>
        <v>Furniture</v>
      </c>
      <c r="K368">
        <f>VLOOKUP(D368,Product_Master!A:D,4,FALSE)</f>
        <v>150</v>
      </c>
      <c r="L368" t="str">
        <f>VLOOKUP(C368,Customer_Master!A:C,2,FALSE)</f>
        <v>TCS</v>
      </c>
      <c r="M368" t="str">
        <f>VLOOKUP(C368,Customer_Master!A:C,3,FALSE)</f>
        <v>Corporate</v>
      </c>
      <c r="N368">
        <f>Table1[[#This Row],[Quantity]]*Table1[[#This Row],[Unit_Price]]</f>
        <v>1635</v>
      </c>
      <c r="O368">
        <f>(Table1[[#This Row],[Unit_Price]]-Table1[[#This Row],[Cost_Price]])*Table1[[#This Row],[Quantity]]</f>
        <v>1485</v>
      </c>
      <c r="P368">
        <f t="shared" si="5"/>
        <v>1635</v>
      </c>
      <c r="Q368" t="str">
        <f>TEXT(Table1[[#This Row],[Order_Date]],"mmm-yyyy")</f>
        <v>Jun-2024</v>
      </c>
    </row>
    <row r="369" spans="1:17" x14ac:dyDescent="0.35">
      <c r="A369" t="s">
        <v>637</v>
      </c>
      <c r="B369" t="s">
        <v>638</v>
      </c>
      <c r="C369" t="s">
        <v>30</v>
      </c>
      <c r="D369" t="s">
        <v>37</v>
      </c>
      <c r="E369" t="s">
        <v>33</v>
      </c>
      <c r="F369" t="s">
        <v>34</v>
      </c>
      <c r="G369">
        <v>3</v>
      </c>
      <c r="H369">
        <v>1615</v>
      </c>
      <c r="I369" t="str">
        <f>VLOOKUP(D369,Product_Master!A:D,2,FALSE)</f>
        <v>Mobile</v>
      </c>
      <c r="J369" t="str">
        <f>VLOOKUP(D369,Product_Master!A:D,3,FALSE)</f>
        <v>Electronics</v>
      </c>
      <c r="K369">
        <f>VLOOKUP(D369,Product_Master!A:D,4,FALSE)</f>
        <v>600</v>
      </c>
      <c r="L369" t="str">
        <f>VLOOKUP(C369,Customer_Master!A:C,2,FALSE)</f>
        <v>Infosys</v>
      </c>
      <c r="M369" t="str">
        <f>VLOOKUP(C369,Customer_Master!A:C,3,FALSE)</f>
        <v>Corporate</v>
      </c>
      <c r="N369">
        <f>Table1[[#This Row],[Quantity]]*Table1[[#This Row],[Unit_Price]]</f>
        <v>4845</v>
      </c>
      <c r="O369">
        <f>(Table1[[#This Row],[Unit_Price]]-Table1[[#This Row],[Cost_Price]])*Table1[[#This Row],[Quantity]]</f>
        <v>3045</v>
      </c>
      <c r="P369">
        <f t="shared" si="5"/>
        <v>4845</v>
      </c>
      <c r="Q369" t="str">
        <f>TEXT(Table1[[#This Row],[Order_Date]],"mmm-yyyy")</f>
        <v>Feb-2024</v>
      </c>
    </row>
    <row r="370" spans="1:17" x14ac:dyDescent="0.35">
      <c r="A370" t="s">
        <v>639</v>
      </c>
      <c r="B370" t="s">
        <v>175</v>
      </c>
      <c r="C370" t="s">
        <v>30</v>
      </c>
      <c r="D370" t="s">
        <v>22</v>
      </c>
      <c r="E370" t="s">
        <v>17</v>
      </c>
      <c r="F370" t="s">
        <v>18</v>
      </c>
      <c r="G370">
        <v>8</v>
      </c>
      <c r="H370">
        <v>1904</v>
      </c>
      <c r="I370" t="str">
        <f>VLOOKUP(D370,Product_Master!A:D,2,FALSE)</f>
        <v>Desk</v>
      </c>
      <c r="J370" t="str">
        <f>VLOOKUP(D370,Product_Master!A:D,3,FALSE)</f>
        <v>Furniture</v>
      </c>
      <c r="K370">
        <f>VLOOKUP(D370,Product_Master!A:D,4,FALSE)</f>
        <v>300</v>
      </c>
      <c r="L370" t="str">
        <f>VLOOKUP(C370,Customer_Master!A:C,2,FALSE)</f>
        <v>Infosys</v>
      </c>
      <c r="M370" t="str">
        <f>VLOOKUP(C370,Customer_Master!A:C,3,FALSE)</f>
        <v>Corporate</v>
      </c>
      <c r="N370">
        <f>Table1[[#This Row],[Quantity]]*Table1[[#This Row],[Unit_Price]]</f>
        <v>15232</v>
      </c>
      <c r="O370">
        <f>(Table1[[#This Row],[Unit_Price]]-Table1[[#This Row],[Cost_Price]])*Table1[[#This Row],[Quantity]]</f>
        <v>12832</v>
      </c>
      <c r="P370">
        <f t="shared" si="5"/>
        <v>15232</v>
      </c>
      <c r="Q370" t="str">
        <f>TEXT(Table1[[#This Row],[Order_Date]],"mmm-yyyy")</f>
        <v>Feb-2024</v>
      </c>
    </row>
    <row r="371" spans="1:17" x14ac:dyDescent="0.35">
      <c r="A371" t="s">
        <v>640</v>
      </c>
      <c r="B371" t="s">
        <v>255</v>
      </c>
      <c r="C371" t="s">
        <v>45</v>
      </c>
      <c r="D371" t="s">
        <v>22</v>
      </c>
      <c r="E371" t="s">
        <v>27</v>
      </c>
      <c r="F371" t="s">
        <v>13</v>
      </c>
      <c r="G371">
        <v>3</v>
      </c>
      <c r="H371">
        <v>1319</v>
      </c>
      <c r="I371" t="str">
        <f>VLOOKUP(D371,Product_Master!A:D,2,FALSE)</f>
        <v>Desk</v>
      </c>
      <c r="J371" t="str">
        <f>VLOOKUP(D371,Product_Master!A:D,3,FALSE)</f>
        <v>Furniture</v>
      </c>
      <c r="K371">
        <f>VLOOKUP(D371,Product_Master!A:D,4,FALSE)</f>
        <v>300</v>
      </c>
      <c r="L371" t="str">
        <f>VLOOKUP(C371,Customer_Master!A:C,2,FALSE)</f>
        <v>TCS</v>
      </c>
      <c r="M371" t="str">
        <f>VLOOKUP(C371,Customer_Master!A:C,3,FALSE)</f>
        <v>Corporate</v>
      </c>
      <c r="N371">
        <f>Table1[[#This Row],[Quantity]]*Table1[[#This Row],[Unit_Price]]</f>
        <v>3957</v>
      </c>
      <c r="O371">
        <f>(Table1[[#This Row],[Unit_Price]]-Table1[[#This Row],[Cost_Price]])*Table1[[#This Row],[Quantity]]</f>
        <v>3057</v>
      </c>
      <c r="P371">
        <f t="shared" si="5"/>
        <v>3957</v>
      </c>
      <c r="Q371" t="str">
        <f>TEXT(Table1[[#This Row],[Order_Date]],"mmm-yyyy")</f>
        <v>Jul-2024</v>
      </c>
    </row>
    <row r="372" spans="1:17" x14ac:dyDescent="0.35">
      <c r="A372" t="s">
        <v>641</v>
      </c>
      <c r="B372" t="s">
        <v>145</v>
      </c>
      <c r="C372" t="s">
        <v>10</v>
      </c>
      <c r="D372" t="s">
        <v>37</v>
      </c>
      <c r="E372" t="s">
        <v>27</v>
      </c>
      <c r="F372" t="s">
        <v>34</v>
      </c>
      <c r="G372">
        <v>8</v>
      </c>
      <c r="H372">
        <v>1208</v>
      </c>
      <c r="I372" t="str">
        <f>VLOOKUP(D372,Product_Master!A:D,2,FALSE)</f>
        <v>Mobile</v>
      </c>
      <c r="J372" t="str">
        <f>VLOOKUP(D372,Product_Master!A:D,3,FALSE)</f>
        <v>Electronics</v>
      </c>
      <c r="K372">
        <f>VLOOKUP(D372,Product_Master!A:D,4,FALSE)</f>
        <v>600</v>
      </c>
      <c r="L372" t="str">
        <f>VLOOKUP(C372,Customer_Master!A:C,2,FALSE)</f>
        <v>Suresh</v>
      </c>
      <c r="M372" t="str">
        <f>VLOOKUP(C372,Customer_Master!A:C,3,FALSE)</f>
        <v>Consumer</v>
      </c>
      <c r="N372">
        <f>Table1[[#This Row],[Quantity]]*Table1[[#This Row],[Unit_Price]]</f>
        <v>9664</v>
      </c>
      <c r="O372">
        <f>(Table1[[#This Row],[Unit_Price]]-Table1[[#This Row],[Cost_Price]])*Table1[[#This Row],[Quantity]]</f>
        <v>4864</v>
      </c>
      <c r="P372">
        <f t="shared" si="5"/>
        <v>9664</v>
      </c>
      <c r="Q372" t="str">
        <f>TEXT(Table1[[#This Row],[Order_Date]],"mmm-yyyy")</f>
        <v>Feb-2024</v>
      </c>
    </row>
    <row r="373" spans="1:17" x14ac:dyDescent="0.35">
      <c r="A373" t="s">
        <v>642</v>
      </c>
      <c r="B373" t="s">
        <v>643</v>
      </c>
      <c r="C373" t="s">
        <v>42</v>
      </c>
      <c r="D373" t="s">
        <v>26</v>
      </c>
      <c r="E373" t="s">
        <v>12</v>
      </c>
      <c r="F373" t="s">
        <v>13</v>
      </c>
      <c r="G373">
        <v>3</v>
      </c>
      <c r="H373">
        <v>1300</v>
      </c>
      <c r="I373" t="str">
        <f>VLOOKUP(D373,Product_Master!A:D,2,FALSE)</f>
        <v>Laptop</v>
      </c>
      <c r="J373" t="str">
        <f>VLOOKUP(D373,Product_Master!A:D,3,FALSE)</f>
        <v>Electronics</v>
      </c>
      <c r="K373">
        <f>VLOOKUP(D373,Product_Master!A:D,4,FALSE)</f>
        <v>900</v>
      </c>
      <c r="L373" t="str">
        <f>VLOOKUP(C373,Customer_Master!A:C,2,FALSE)</f>
        <v>Ramesh</v>
      </c>
      <c r="M373" t="str">
        <f>VLOOKUP(C373,Customer_Master!A:C,3,FALSE)</f>
        <v>Consumer</v>
      </c>
      <c r="N373">
        <f>Table1[[#This Row],[Quantity]]*Table1[[#This Row],[Unit_Price]]</f>
        <v>3900</v>
      </c>
      <c r="O373">
        <f>(Table1[[#This Row],[Unit_Price]]-Table1[[#This Row],[Cost_Price]])*Table1[[#This Row],[Quantity]]</f>
        <v>1200</v>
      </c>
      <c r="P373">
        <f t="shared" si="5"/>
        <v>3900</v>
      </c>
      <c r="Q373" t="str">
        <f>TEXT(Table1[[#This Row],[Order_Date]],"mmm-yyyy")</f>
        <v>Jul-2024</v>
      </c>
    </row>
    <row r="374" spans="1:17" x14ac:dyDescent="0.35">
      <c r="A374" t="s">
        <v>644</v>
      </c>
      <c r="B374" t="s">
        <v>645</v>
      </c>
      <c r="C374" t="s">
        <v>45</v>
      </c>
      <c r="D374" t="s">
        <v>11</v>
      </c>
      <c r="E374" t="s">
        <v>33</v>
      </c>
      <c r="F374" t="s">
        <v>18</v>
      </c>
      <c r="G374">
        <v>4</v>
      </c>
      <c r="H374">
        <v>1339</v>
      </c>
      <c r="I374" t="str">
        <f>VLOOKUP(D374,Product_Master!A:D,2,FALSE)</f>
        <v>Chair</v>
      </c>
      <c r="J374" t="str">
        <f>VLOOKUP(D374,Product_Master!A:D,3,FALSE)</f>
        <v>Furniture</v>
      </c>
      <c r="K374">
        <f>VLOOKUP(D374,Product_Master!A:D,4,FALSE)</f>
        <v>150</v>
      </c>
      <c r="L374" t="str">
        <f>VLOOKUP(C374,Customer_Master!A:C,2,FALSE)</f>
        <v>TCS</v>
      </c>
      <c r="M374" t="str">
        <f>VLOOKUP(C374,Customer_Master!A:C,3,FALSE)</f>
        <v>Corporate</v>
      </c>
      <c r="N374">
        <f>Table1[[#This Row],[Quantity]]*Table1[[#This Row],[Unit_Price]]</f>
        <v>5356</v>
      </c>
      <c r="O374">
        <f>(Table1[[#This Row],[Unit_Price]]-Table1[[#This Row],[Cost_Price]])*Table1[[#This Row],[Quantity]]</f>
        <v>4756</v>
      </c>
      <c r="P374">
        <f t="shared" si="5"/>
        <v>5356</v>
      </c>
      <c r="Q374" t="str">
        <f>TEXT(Table1[[#This Row],[Order_Date]],"mmm-yyyy")</f>
        <v>Feb-2024</v>
      </c>
    </row>
    <row r="375" spans="1:17" x14ac:dyDescent="0.35">
      <c r="A375" t="s">
        <v>646</v>
      </c>
      <c r="B375" t="s">
        <v>341</v>
      </c>
      <c r="C375" t="s">
        <v>42</v>
      </c>
      <c r="D375" t="s">
        <v>22</v>
      </c>
      <c r="E375" t="s">
        <v>33</v>
      </c>
      <c r="F375" t="s">
        <v>23</v>
      </c>
      <c r="G375">
        <v>1</v>
      </c>
      <c r="H375">
        <v>1959</v>
      </c>
      <c r="I375" t="str">
        <f>VLOOKUP(D375,Product_Master!A:D,2,FALSE)</f>
        <v>Desk</v>
      </c>
      <c r="J375" t="str">
        <f>VLOOKUP(D375,Product_Master!A:D,3,FALSE)</f>
        <v>Furniture</v>
      </c>
      <c r="K375">
        <f>VLOOKUP(D375,Product_Master!A:D,4,FALSE)</f>
        <v>300</v>
      </c>
      <c r="L375" t="str">
        <f>VLOOKUP(C375,Customer_Master!A:C,2,FALSE)</f>
        <v>Ramesh</v>
      </c>
      <c r="M375" t="str">
        <f>VLOOKUP(C375,Customer_Master!A:C,3,FALSE)</f>
        <v>Consumer</v>
      </c>
      <c r="N375">
        <f>Table1[[#This Row],[Quantity]]*Table1[[#This Row],[Unit_Price]]</f>
        <v>1959</v>
      </c>
      <c r="O375">
        <f>(Table1[[#This Row],[Unit_Price]]-Table1[[#This Row],[Cost_Price]])*Table1[[#This Row],[Quantity]]</f>
        <v>1659</v>
      </c>
      <c r="P375">
        <f t="shared" si="5"/>
        <v>1959</v>
      </c>
      <c r="Q375" t="str">
        <f>TEXT(Table1[[#This Row],[Order_Date]],"mmm-yyyy")</f>
        <v>Jan-2024</v>
      </c>
    </row>
    <row r="376" spans="1:17" x14ac:dyDescent="0.35">
      <c r="A376" t="s">
        <v>647</v>
      </c>
      <c r="B376" t="s">
        <v>648</v>
      </c>
      <c r="C376" t="s">
        <v>10</v>
      </c>
      <c r="D376" t="s">
        <v>26</v>
      </c>
      <c r="E376" t="s">
        <v>17</v>
      </c>
      <c r="F376" t="s">
        <v>18</v>
      </c>
      <c r="G376">
        <v>5</v>
      </c>
      <c r="H376">
        <v>1837</v>
      </c>
      <c r="I376" t="str">
        <f>VLOOKUP(D376,Product_Master!A:D,2,FALSE)</f>
        <v>Laptop</v>
      </c>
      <c r="J376" t="str">
        <f>VLOOKUP(D376,Product_Master!A:D,3,FALSE)</f>
        <v>Electronics</v>
      </c>
      <c r="K376">
        <f>VLOOKUP(D376,Product_Master!A:D,4,FALSE)</f>
        <v>900</v>
      </c>
      <c r="L376" t="str">
        <f>VLOOKUP(C376,Customer_Master!A:C,2,FALSE)</f>
        <v>Suresh</v>
      </c>
      <c r="M376" t="str">
        <f>VLOOKUP(C376,Customer_Master!A:C,3,FALSE)</f>
        <v>Consumer</v>
      </c>
      <c r="N376">
        <f>Table1[[#This Row],[Quantity]]*Table1[[#This Row],[Unit_Price]]</f>
        <v>9185</v>
      </c>
      <c r="O376">
        <f>(Table1[[#This Row],[Unit_Price]]-Table1[[#This Row],[Cost_Price]])*Table1[[#This Row],[Quantity]]</f>
        <v>4685</v>
      </c>
      <c r="P376">
        <f t="shared" si="5"/>
        <v>9185</v>
      </c>
      <c r="Q376" t="str">
        <f>TEXT(Table1[[#This Row],[Order_Date]],"mmm-yyyy")</f>
        <v>May-2024</v>
      </c>
    </row>
    <row r="377" spans="1:17" x14ac:dyDescent="0.35">
      <c r="A377" t="s">
        <v>649</v>
      </c>
      <c r="B377" t="s">
        <v>121</v>
      </c>
      <c r="C377" t="s">
        <v>45</v>
      </c>
      <c r="D377" t="s">
        <v>16</v>
      </c>
      <c r="E377" t="s">
        <v>17</v>
      </c>
      <c r="F377" t="s">
        <v>18</v>
      </c>
      <c r="G377">
        <v>7</v>
      </c>
      <c r="H377">
        <v>1409</v>
      </c>
      <c r="I377" t="str">
        <f>VLOOKUP(D377,Product_Master!A:D,2,FALSE)</f>
        <v>Printer</v>
      </c>
      <c r="J377" t="str">
        <f>VLOOKUP(D377,Product_Master!A:D,3,FALSE)</f>
        <v>Electronics</v>
      </c>
      <c r="K377">
        <f>VLOOKUP(D377,Product_Master!A:D,4,FALSE)</f>
        <v>1100</v>
      </c>
      <c r="L377" t="str">
        <f>VLOOKUP(C377,Customer_Master!A:C,2,FALSE)</f>
        <v>TCS</v>
      </c>
      <c r="M377" t="str">
        <f>VLOOKUP(C377,Customer_Master!A:C,3,FALSE)</f>
        <v>Corporate</v>
      </c>
      <c r="N377">
        <f>Table1[[#This Row],[Quantity]]*Table1[[#This Row],[Unit_Price]]</f>
        <v>9863</v>
      </c>
      <c r="O377">
        <f>(Table1[[#This Row],[Unit_Price]]-Table1[[#This Row],[Cost_Price]])*Table1[[#This Row],[Quantity]]</f>
        <v>2163</v>
      </c>
      <c r="P377">
        <f t="shared" si="5"/>
        <v>9863</v>
      </c>
      <c r="Q377" t="str">
        <f>TEXT(Table1[[#This Row],[Order_Date]],"mmm-yyyy")</f>
        <v>Nov-2024</v>
      </c>
    </row>
    <row r="378" spans="1:17" x14ac:dyDescent="0.35">
      <c r="A378" t="s">
        <v>650</v>
      </c>
      <c r="B378" t="s">
        <v>368</v>
      </c>
      <c r="C378" t="s">
        <v>42</v>
      </c>
      <c r="D378" t="s">
        <v>26</v>
      </c>
      <c r="E378" t="s">
        <v>12</v>
      </c>
      <c r="F378" t="s">
        <v>23</v>
      </c>
      <c r="G378">
        <v>9</v>
      </c>
      <c r="H378">
        <v>841</v>
      </c>
      <c r="I378" t="str">
        <f>VLOOKUP(D378,Product_Master!A:D,2,FALSE)</f>
        <v>Laptop</v>
      </c>
      <c r="J378" t="str">
        <f>VLOOKUP(D378,Product_Master!A:D,3,FALSE)</f>
        <v>Electronics</v>
      </c>
      <c r="K378">
        <f>VLOOKUP(D378,Product_Master!A:D,4,FALSE)</f>
        <v>900</v>
      </c>
      <c r="L378" t="str">
        <f>VLOOKUP(C378,Customer_Master!A:C,2,FALSE)</f>
        <v>Ramesh</v>
      </c>
      <c r="M378" t="str">
        <f>VLOOKUP(C378,Customer_Master!A:C,3,FALSE)</f>
        <v>Consumer</v>
      </c>
      <c r="N378">
        <f>Table1[[#This Row],[Quantity]]*Table1[[#This Row],[Unit_Price]]</f>
        <v>7569</v>
      </c>
      <c r="O378">
        <f>(Table1[[#This Row],[Unit_Price]]-Table1[[#This Row],[Cost_Price]])*Table1[[#This Row],[Quantity]]</f>
        <v>-531</v>
      </c>
      <c r="P378">
        <f t="shared" si="5"/>
        <v>7569</v>
      </c>
      <c r="Q378" t="str">
        <f>TEXT(Table1[[#This Row],[Order_Date]],"mmm-yyyy")</f>
        <v>Oct-2024</v>
      </c>
    </row>
    <row r="379" spans="1:17" x14ac:dyDescent="0.35">
      <c r="A379" t="s">
        <v>651</v>
      </c>
      <c r="B379" t="s">
        <v>580</v>
      </c>
      <c r="C379" t="s">
        <v>21</v>
      </c>
      <c r="D379" t="s">
        <v>26</v>
      </c>
      <c r="E379" t="s">
        <v>17</v>
      </c>
      <c r="F379" t="s">
        <v>18</v>
      </c>
      <c r="G379">
        <v>9</v>
      </c>
      <c r="H379">
        <v>1738</v>
      </c>
      <c r="I379" t="str">
        <f>VLOOKUP(D379,Product_Master!A:D,2,FALSE)</f>
        <v>Laptop</v>
      </c>
      <c r="J379" t="str">
        <f>VLOOKUP(D379,Product_Master!A:D,3,FALSE)</f>
        <v>Electronics</v>
      </c>
      <c r="K379">
        <f>VLOOKUP(D379,Product_Master!A:D,4,FALSE)</f>
        <v>900</v>
      </c>
      <c r="L379" t="str">
        <f>VLOOKUP(C379,Customer_Master!A:C,2,FALSE)</f>
        <v>Reliance</v>
      </c>
      <c r="M379" t="str">
        <f>VLOOKUP(C379,Customer_Master!A:C,3,FALSE)</f>
        <v>Corporate</v>
      </c>
      <c r="N379">
        <f>Table1[[#This Row],[Quantity]]*Table1[[#This Row],[Unit_Price]]</f>
        <v>15642</v>
      </c>
      <c r="O379">
        <f>(Table1[[#This Row],[Unit_Price]]-Table1[[#This Row],[Cost_Price]])*Table1[[#This Row],[Quantity]]</f>
        <v>7542</v>
      </c>
      <c r="P379">
        <f t="shared" si="5"/>
        <v>15642</v>
      </c>
      <c r="Q379" t="str">
        <f>TEXT(Table1[[#This Row],[Order_Date]],"mmm-yyyy")</f>
        <v>Jan-2024</v>
      </c>
    </row>
    <row r="380" spans="1:17" x14ac:dyDescent="0.35">
      <c r="A380" t="s">
        <v>652</v>
      </c>
      <c r="B380" t="s">
        <v>653</v>
      </c>
      <c r="C380" t="s">
        <v>21</v>
      </c>
      <c r="D380" t="s">
        <v>11</v>
      </c>
      <c r="E380" t="s">
        <v>12</v>
      </c>
      <c r="F380" t="s">
        <v>23</v>
      </c>
      <c r="G380">
        <v>4</v>
      </c>
      <c r="H380">
        <v>1177</v>
      </c>
      <c r="I380" t="str">
        <f>VLOOKUP(D380,Product_Master!A:D,2,FALSE)</f>
        <v>Chair</v>
      </c>
      <c r="J380" t="str">
        <f>VLOOKUP(D380,Product_Master!A:D,3,FALSE)</f>
        <v>Furniture</v>
      </c>
      <c r="K380">
        <f>VLOOKUP(D380,Product_Master!A:D,4,FALSE)</f>
        <v>150</v>
      </c>
      <c r="L380" t="str">
        <f>VLOOKUP(C380,Customer_Master!A:C,2,FALSE)</f>
        <v>Reliance</v>
      </c>
      <c r="M380" t="str">
        <f>VLOOKUP(C380,Customer_Master!A:C,3,FALSE)</f>
        <v>Corporate</v>
      </c>
      <c r="N380">
        <f>Table1[[#This Row],[Quantity]]*Table1[[#This Row],[Unit_Price]]</f>
        <v>4708</v>
      </c>
      <c r="O380">
        <f>(Table1[[#This Row],[Unit_Price]]-Table1[[#This Row],[Cost_Price]])*Table1[[#This Row],[Quantity]]</f>
        <v>4108</v>
      </c>
      <c r="P380">
        <f t="shared" si="5"/>
        <v>4708</v>
      </c>
      <c r="Q380" t="str">
        <f>TEXT(Table1[[#This Row],[Order_Date]],"mmm-yyyy")</f>
        <v>Dec-2024</v>
      </c>
    </row>
    <row r="381" spans="1:17" x14ac:dyDescent="0.35">
      <c r="A381" t="s">
        <v>654</v>
      </c>
      <c r="B381" t="s">
        <v>257</v>
      </c>
      <c r="C381" t="s">
        <v>10</v>
      </c>
      <c r="D381" t="s">
        <v>26</v>
      </c>
      <c r="E381" t="s">
        <v>27</v>
      </c>
      <c r="F381" t="s">
        <v>13</v>
      </c>
      <c r="G381">
        <v>10</v>
      </c>
      <c r="H381">
        <v>1407</v>
      </c>
      <c r="I381" t="str">
        <f>VLOOKUP(D381,Product_Master!A:D,2,FALSE)</f>
        <v>Laptop</v>
      </c>
      <c r="J381" t="str">
        <f>VLOOKUP(D381,Product_Master!A:D,3,FALSE)</f>
        <v>Electronics</v>
      </c>
      <c r="K381">
        <f>VLOOKUP(D381,Product_Master!A:D,4,FALSE)</f>
        <v>900</v>
      </c>
      <c r="L381" t="str">
        <f>VLOOKUP(C381,Customer_Master!A:C,2,FALSE)</f>
        <v>Suresh</v>
      </c>
      <c r="M381" t="str">
        <f>VLOOKUP(C381,Customer_Master!A:C,3,FALSE)</f>
        <v>Consumer</v>
      </c>
      <c r="N381">
        <f>Table1[[#This Row],[Quantity]]*Table1[[#This Row],[Unit_Price]]</f>
        <v>14070</v>
      </c>
      <c r="O381">
        <f>(Table1[[#This Row],[Unit_Price]]-Table1[[#This Row],[Cost_Price]])*Table1[[#This Row],[Quantity]]</f>
        <v>5070</v>
      </c>
      <c r="P381">
        <f t="shared" si="5"/>
        <v>14070</v>
      </c>
      <c r="Q381" t="str">
        <f>TEXT(Table1[[#This Row],[Order_Date]],"mmm-yyyy")</f>
        <v>May-2024</v>
      </c>
    </row>
    <row r="382" spans="1:17" x14ac:dyDescent="0.35">
      <c r="A382" t="s">
        <v>655</v>
      </c>
      <c r="B382" t="s">
        <v>47</v>
      </c>
      <c r="C382" t="s">
        <v>30</v>
      </c>
      <c r="D382" t="s">
        <v>16</v>
      </c>
      <c r="E382" t="s">
        <v>27</v>
      </c>
      <c r="F382" t="s">
        <v>18</v>
      </c>
      <c r="G382">
        <v>8</v>
      </c>
      <c r="H382">
        <v>813</v>
      </c>
      <c r="I382" t="str">
        <f>VLOOKUP(D382,Product_Master!A:D,2,FALSE)</f>
        <v>Printer</v>
      </c>
      <c r="J382" t="str">
        <f>VLOOKUP(D382,Product_Master!A:D,3,FALSE)</f>
        <v>Electronics</v>
      </c>
      <c r="K382">
        <f>VLOOKUP(D382,Product_Master!A:D,4,FALSE)</f>
        <v>1100</v>
      </c>
      <c r="L382" t="str">
        <f>VLOOKUP(C382,Customer_Master!A:C,2,FALSE)</f>
        <v>Infosys</v>
      </c>
      <c r="M382" t="str">
        <f>VLOOKUP(C382,Customer_Master!A:C,3,FALSE)</f>
        <v>Corporate</v>
      </c>
      <c r="N382">
        <f>Table1[[#This Row],[Quantity]]*Table1[[#This Row],[Unit_Price]]</f>
        <v>6504</v>
      </c>
      <c r="O382">
        <f>(Table1[[#This Row],[Unit_Price]]-Table1[[#This Row],[Cost_Price]])*Table1[[#This Row],[Quantity]]</f>
        <v>-2296</v>
      </c>
      <c r="P382">
        <f t="shared" si="5"/>
        <v>6504</v>
      </c>
      <c r="Q382" t="str">
        <f>TEXT(Table1[[#This Row],[Order_Date]],"mmm-yyyy")</f>
        <v>Dec-2024</v>
      </c>
    </row>
    <row r="383" spans="1:17" x14ac:dyDescent="0.35">
      <c r="A383" t="s">
        <v>656</v>
      </c>
      <c r="B383" t="s">
        <v>271</v>
      </c>
      <c r="C383" t="s">
        <v>30</v>
      </c>
      <c r="D383" t="s">
        <v>37</v>
      </c>
      <c r="E383" t="s">
        <v>33</v>
      </c>
      <c r="F383" t="s">
        <v>18</v>
      </c>
      <c r="G383">
        <v>7</v>
      </c>
      <c r="H383">
        <v>989</v>
      </c>
      <c r="I383" t="str">
        <f>VLOOKUP(D383,Product_Master!A:D,2,FALSE)</f>
        <v>Mobile</v>
      </c>
      <c r="J383" t="str">
        <f>VLOOKUP(D383,Product_Master!A:D,3,FALSE)</f>
        <v>Electronics</v>
      </c>
      <c r="K383">
        <f>VLOOKUP(D383,Product_Master!A:D,4,FALSE)</f>
        <v>600</v>
      </c>
      <c r="L383" t="str">
        <f>VLOOKUP(C383,Customer_Master!A:C,2,FALSE)</f>
        <v>Infosys</v>
      </c>
      <c r="M383" t="str">
        <f>VLOOKUP(C383,Customer_Master!A:C,3,FALSE)</f>
        <v>Corporate</v>
      </c>
      <c r="N383">
        <f>Table1[[#This Row],[Quantity]]*Table1[[#This Row],[Unit_Price]]</f>
        <v>6923</v>
      </c>
      <c r="O383">
        <f>(Table1[[#This Row],[Unit_Price]]-Table1[[#This Row],[Cost_Price]])*Table1[[#This Row],[Quantity]]</f>
        <v>2723</v>
      </c>
      <c r="P383">
        <f t="shared" si="5"/>
        <v>6923</v>
      </c>
      <c r="Q383" t="str">
        <f>TEXT(Table1[[#This Row],[Order_Date]],"mmm-yyyy")</f>
        <v>Sep-2024</v>
      </c>
    </row>
    <row r="384" spans="1:17" x14ac:dyDescent="0.35">
      <c r="A384" t="s">
        <v>657</v>
      </c>
      <c r="B384" t="s">
        <v>331</v>
      </c>
      <c r="C384" t="s">
        <v>10</v>
      </c>
      <c r="D384" t="s">
        <v>26</v>
      </c>
      <c r="E384" t="s">
        <v>27</v>
      </c>
      <c r="F384" t="s">
        <v>34</v>
      </c>
      <c r="G384">
        <v>7</v>
      </c>
      <c r="H384">
        <v>1793</v>
      </c>
      <c r="I384" t="str">
        <f>VLOOKUP(D384,Product_Master!A:D,2,FALSE)</f>
        <v>Laptop</v>
      </c>
      <c r="J384" t="str">
        <f>VLOOKUP(D384,Product_Master!A:D,3,FALSE)</f>
        <v>Electronics</v>
      </c>
      <c r="K384">
        <f>VLOOKUP(D384,Product_Master!A:D,4,FALSE)</f>
        <v>900</v>
      </c>
      <c r="L384" t="str">
        <f>VLOOKUP(C384,Customer_Master!A:C,2,FALSE)</f>
        <v>Suresh</v>
      </c>
      <c r="M384" t="str">
        <f>VLOOKUP(C384,Customer_Master!A:C,3,FALSE)</f>
        <v>Consumer</v>
      </c>
      <c r="N384">
        <f>Table1[[#This Row],[Quantity]]*Table1[[#This Row],[Unit_Price]]</f>
        <v>12551</v>
      </c>
      <c r="O384">
        <f>(Table1[[#This Row],[Unit_Price]]-Table1[[#This Row],[Cost_Price]])*Table1[[#This Row],[Quantity]]</f>
        <v>6251</v>
      </c>
      <c r="P384">
        <f t="shared" si="5"/>
        <v>12551</v>
      </c>
      <c r="Q384" t="str">
        <f>TEXT(Table1[[#This Row],[Order_Date]],"mmm-yyyy")</f>
        <v>Oct-2024</v>
      </c>
    </row>
    <row r="385" spans="1:17" x14ac:dyDescent="0.35">
      <c r="A385" t="s">
        <v>658</v>
      </c>
      <c r="B385" t="s">
        <v>339</v>
      </c>
      <c r="C385" t="s">
        <v>30</v>
      </c>
      <c r="D385" t="s">
        <v>26</v>
      </c>
      <c r="E385" t="s">
        <v>17</v>
      </c>
      <c r="F385" t="s">
        <v>18</v>
      </c>
      <c r="G385">
        <v>4</v>
      </c>
      <c r="H385">
        <v>1976</v>
      </c>
      <c r="I385" t="str">
        <f>VLOOKUP(D385,Product_Master!A:D,2,FALSE)</f>
        <v>Laptop</v>
      </c>
      <c r="J385" t="str">
        <f>VLOOKUP(D385,Product_Master!A:D,3,FALSE)</f>
        <v>Electronics</v>
      </c>
      <c r="K385">
        <f>VLOOKUP(D385,Product_Master!A:D,4,FALSE)</f>
        <v>900</v>
      </c>
      <c r="L385" t="str">
        <f>VLOOKUP(C385,Customer_Master!A:C,2,FALSE)</f>
        <v>Infosys</v>
      </c>
      <c r="M385" t="str">
        <f>VLOOKUP(C385,Customer_Master!A:C,3,FALSE)</f>
        <v>Corporate</v>
      </c>
      <c r="N385">
        <f>Table1[[#This Row],[Quantity]]*Table1[[#This Row],[Unit_Price]]</f>
        <v>7904</v>
      </c>
      <c r="O385">
        <f>(Table1[[#This Row],[Unit_Price]]-Table1[[#This Row],[Cost_Price]])*Table1[[#This Row],[Quantity]]</f>
        <v>4304</v>
      </c>
      <c r="P385">
        <f t="shared" si="5"/>
        <v>7904</v>
      </c>
      <c r="Q385" t="str">
        <f>TEXT(Table1[[#This Row],[Order_Date]],"mmm-yyyy")</f>
        <v>Jun-2024</v>
      </c>
    </row>
    <row r="386" spans="1:17" x14ac:dyDescent="0.35">
      <c r="A386" t="s">
        <v>659</v>
      </c>
      <c r="B386" t="s">
        <v>660</v>
      </c>
      <c r="C386" t="s">
        <v>30</v>
      </c>
      <c r="D386" t="s">
        <v>37</v>
      </c>
      <c r="E386" t="s">
        <v>12</v>
      </c>
      <c r="F386" t="s">
        <v>18</v>
      </c>
      <c r="G386">
        <v>2</v>
      </c>
      <c r="H386">
        <v>1733</v>
      </c>
      <c r="I386" t="str">
        <f>VLOOKUP(D386,Product_Master!A:D,2,FALSE)</f>
        <v>Mobile</v>
      </c>
      <c r="J386" t="str">
        <f>VLOOKUP(D386,Product_Master!A:D,3,FALSE)</f>
        <v>Electronics</v>
      </c>
      <c r="K386">
        <f>VLOOKUP(D386,Product_Master!A:D,4,FALSE)</f>
        <v>600</v>
      </c>
      <c r="L386" t="str">
        <f>VLOOKUP(C386,Customer_Master!A:C,2,FALSE)</f>
        <v>Infosys</v>
      </c>
      <c r="M386" t="str">
        <f>VLOOKUP(C386,Customer_Master!A:C,3,FALSE)</f>
        <v>Corporate</v>
      </c>
      <c r="N386">
        <f>Table1[[#This Row],[Quantity]]*Table1[[#This Row],[Unit_Price]]</f>
        <v>3466</v>
      </c>
      <c r="O386">
        <f>(Table1[[#This Row],[Unit_Price]]-Table1[[#This Row],[Cost_Price]])*Table1[[#This Row],[Quantity]]</f>
        <v>2266</v>
      </c>
      <c r="P386">
        <f t="shared" ref="P386:P449" si="6">VALUE(N386)</f>
        <v>3466</v>
      </c>
      <c r="Q386" t="str">
        <f>TEXT(Table1[[#This Row],[Order_Date]],"mmm-yyyy")</f>
        <v>Aug-2024</v>
      </c>
    </row>
    <row r="387" spans="1:17" x14ac:dyDescent="0.35">
      <c r="A387" t="s">
        <v>661</v>
      </c>
      <c r="B387" t="s">
        <v>409</v>
      </c>
      <c r="C387" t="s">
        <v>21</v>
      </c>
      <c r="D387" t="s">
        <v>22</v>
      </c>
      <c r="E387" t="s">
        <v>17</v>
      </c>
      <c r="F387" t="s">
        <v>23</v>
      </c>
      <c r="G387">
        <v>6</v>
      </c>
      <c r="H387">
        <v>1309</v>
      </c>
      <c r="I387" t="str">
        <f>VLOOKUP(D387,Product_Master!A:D,2,FALSE)</f>
        <v>Desk</v>
      </c>
      <c r="J387" t="str">
        <f>VLOOKUP(D387,Product_Master!A:D,3,FALSE)</f>
        <v>Furniture</v>
      </c>
      <c r="K387">
        <f>VLOOKUP(D387,Product_Master!A:D,4,FALSE)</f>
        <v>300</v>
      </c>
      <c r="L387" t="str">
        <f>VLOOKUP(C387,Customer_Master!A:C,2,FALSE)</f>
        <v>Reliance</v>
      </c>
      <c r="M387" t="str">
        <f>VLOOKUP(C387,Customer_Master!A:C,3,FALSE)</f>
        <v>Corporate</v>
      </c>
      <c r="N387">
        <f>Table1[[#This Row],[Quantity]]*Table1[[#This Row],[Unit_Price]]</f>
        <v>7854</v>
      </c>
      <c r="O387">
        <f>(Table1[[#This Row],[Unit_Price]]-Table1[[#This Row],[Cost_Price]])*Table1[[#This Row],[Quantity]]</f>
        <v>6054</v>
      </c>
      <c r="P387">
        <f t="shared" si="6"/>
        <v>7854</v>
      </c>
      <c r="Q387" t="str">
        <f>TEXT(Table1[[#This Row],[Order_Date]],"mmm-yyyy")</f>
        <v>Jan-2024</v>
      </c>
    </row>
    <row r="388" spans="1:17" x14ac:dyDescent="0.35">
      <c r="A388" t="s">
        <v>662</v>
      </c>
      <c r="B388" t="s">
        <v>303</v>
      </c>
      <c r="C388" t="s">
        <v>10</v>
      </c>
      <c r="D388" t="s">
        <v>26</v>
      </c>
      <c r="E388" t="s">
        <v>17</v>
      </c>
      <c r="F388" t="s">
        <v>34</v>
      </c>
      <c r="G388">
        <v>10</v>
      </c>
      <c r="H388">
        <v>1481</v>
      </c>
      <c r="I388" t="str">
        <f>VLOOKUP(D388,Product_Master!A:D,2,FALSE)</f>
        <v>Laptop</v>
      </c>
      <c r="J388" t="str">
        <f>VLOOKUP(D388,Product_Master!A:D,3,FALSE)</f>
        <v>Electronics</v>
      </c>
      <c r="K388">
        <f>VLOOKUP(D388,Product_Master!A:D,4,FALSE)</f>
        <v>900</v>
      </c>
      <c r="L388" t="str">
        <f>VLOOKUP(C388,Customer_Master!A:C,2,FALSE)</f>
        <v>Suresh</v>
      </c>
      <c r="M388" t="str">
        <f>VLOOKUP(C388,Customer_Master!A:C,3,FALSE)</f>
        <v>Consumer</v>
      </c>
      <c r="N388">
        <f>Table1[[#This Row],[Quantity]]*Table1[[#This Row],[Unit_Price]]</f>
        <v>14810</v>
      </c>
      <c r="O388">
        <f>(Table1[[#This Row],[Unit_Price]]-Table1[[#This Row],[Cost_Price]])*Table1[[#This Row],[Quantity]]</f>
        <v>5810</v>
      </c>
      <c r="P388">
        <f t="shared" si="6"/>
        <v>14810</v>
      </c>
      <c r="Q388" t="str">
        <f>TEXT(Table1[[#This Row],[Order_Date]],"mmm-yyyy")</f>
        <v>Jul-2024</v>
      </c>
    </row>
    <row r="389" spans="1:17" x14ac:dyDescent="0.35">
      <c r="A389" t="s">
        <v>663</v>
      </c>
      <c r="B389" t="s">
        <v>484</v>
      </c>
      <c r="C389" t="s">
        <v>45</v>
      </c>
      <c r="D389" t="s">
        <v>37</v>
      </c>
      <c r="E389" t="s">
        <v>33</v>
      </c>
      <c r="F389" t="s">
        <v>23</v>
      </c>
      <c r="G389">
        <v>3</v>
      </c>
      <c r="H389">
        <v>863</v>
      </c>
      <c r="I389" t="str">
        <f>VLOOKUP(D389,Product_Master!A:D,2,FALSE)</f>
        <v>Mobile</v>
      </c>
      <c r="J389" t="str">
        <f>VLOOKUP(D389,Product_Master!A:D,3,FALSE)</f>
        <v>Electronics</v>
      </c>
      <c r="K389">
        <f>VLOOKUP(D389,Product_Master!A:D,4,FALSE)</f>
        <v>600</v>
      </c>
      <c r="L389" t="str">
        <f>VLOOKUP(C389,Customer_Master!A:C,2,FALSE)</f>
        <v>TCS</v>
      </c>
      <c r="M389" t="str">
        <f>VLOOKUP(C389,Customer_Master!A:C,3,FALSE)</f>
        <v>Corporate</v>
      </c>
      <c r="N389">
        <f>Table1[[#This Row],[Quantity]]*Table1[[#This Row],[Unit_Price]]</f>
        <v>2589</v>
      </c>
      <c r="O389">
        <f>(Table1[[#This Row],[Unit_Price]]-Table1[[#This Row],[Cost_Price]])*Table1[[#This Row],[Quantity]]</f>
        <v>789</v>
      </c>
      <c r="P389">
        <f t="shared" si="6"/>
        <v>2589</v>
      </c>
      <c r="Q389" t="str">
        <f>TEXT(Table1[[#This Row],[Order_Date]],"mmm-yyyy")</f>
        <v>Jul-2024</v>
      </c>
    </row>
    <row r="390" spans="1:17" x14ac:dyDescent="0.35">
      <c r="A390" t="s">
        <v>664</v>
      </c>
      <c r="B390" t="s">
        <v>665</v>
      </c>
      <c r="C390" t="s">
        <v>30</v>
      </c>
      <c r="D390" t="s">
        <v>16</v>
      </c>
      <c r="E390" t="s">
        <v>27</v>
      </c>
      <c r="F390" t="s">
        <v>18</v>
      </c>
      <c r="G390">
        <v>8</v>
      </c>
      <c r="H390">
        <v>945</v>
      </c>
      <c r="I390" t="str">
        <f>VLOOKUP(D390,Product_Master!A:D,2,FALSE)</f>
        <v>Printer</v>
      </c>
      <c r="J390" t="str">
        <f>VLOOKUP(D390,Product_Master!A:D,3,FALSE)</f>
        <v>Electronics</v>
      </c>
      <c r="K390">
        <f>VLOOKUP(D390,Product_Master!A:D,4,FALSE)</f>
        <v>1100</v>
      </c>
      <c r="L390" t="str">
        <f>VLOOKUP(C390,Customer_Master!A:C,2,FALSE)</f>
        <v>Infosys</v>
      </c>
      <c r="M390" t="str">
        <f>VLOOKUP(C390,Customer_Master!A:C,3,FALSE)</f>
        <v>Corporate</v>
      </c>
      <c r="N390">
        <f>Table1[[#This Row],[Quantity]]*Table1[[#This Row],[Unit_Price]]</f>
        <v>7560</v>
      </c>
      <c r="O390">
        <f>(Table1[[#This Row],[Unit_Price]]-Table1[[#This Row],[Cost_Price]])*Table1[[#This Row],[Quantity]]</f>
        <v>-1240</v>
      </c>
      <c r="P390">
        <f t="shared" si="6"/>
        <v>7560</v>
      </c>
      <c r="Q390" t="str">
        <f>TEXT(Table1[[#This Row],[Order_Date]],"mmm-yyyy")</f>
        <v>Aug-2024</v>
      </c>
    </row>
    <row r="391" spans="1:17" x14ac:dyDescent="0.35">
      <c r="A391" t="s">
        <v>666</v>
      </c>
      <c r="B391" t="s">
        <v>352</v>
      </c>
      <c r="C391" t="s">
        <v>45</v>
      </c>
      <c r="D391" t="s">
        <v>26</v>
      </c>
      <c r="E391" t="s">
        <v>27</v>
      </c>
      <c r="F391" t="s">
        <v>23</v>
      </c>
      <c r="G391">
        <v>5</v>
      </c>
      <c r="H391">
        <v>1902</v>
      </c>
      <c r="I391" t="str">
        <f>VLOOKUP(D391,Product_Master!A:D,2,FALSE)</f>
        <v>Laptop</v>
      </c>
      <c r="J391" t="str">
        <f>VLOOKUP(D391,Product_Master!A:D,3,FALSE)</f>
        <v>Electronics</v>
      </c>
      <c r="K391">
        <f>VLOOKUP(D391,Product_Master!A:D,4,FALSE)</f>
        <v>900</v>
      </c>
      <c r="L391" t="str">
        <f>VLOOKUP(C391,Customer_Master!A:C,2,FALSE)</f>
        <v>TCS</v>
      </c>
      <c r="M391" t="str">
        <f>VLOOKUP(C391,Customer_Master!A:C,3,FALSE)</f>
        <v>Corporate</v>
      </c>
      <c r="N391">
        <f>Table1[[#This Row],[Quantity]]*Table1[[#This Row],[Unit_Price]]</f>
        <v>9510</v>
      </c>
      <c r="O391">
        <f>(Table1[[#This Row],[Unit_Price]]-Table1[[#This Row],[Cost_Price]])*Table1[[#This Row],[Quantity]]</f>
        <v>5010</v>
      </c>
      <c r="P391">
        <f t="shared" si="6"/>
        <v>9510</v>
      </c>
      <c r="Q391" t="str">
        <f>TEXT(Table1[[#This Row],[Order_Date]],"mmm-yyyy")</f>
        <v>Mar-2024</v>
      </c>
    </row>
    <row r="392" spans="1:17" x14ac:dyDescent="0.35">
      <c r="A392" t="s">
        <v>667</v>
      </c>
      <c r="B392" t="s">
        <v>352</v>
      </c>
      <c r="C392" t="s">
        <v>10</v>
      </c>
      <c r="D392" t="s">
        <v>16</v>
      </c>
      <c r="E392" t="s">
        <v>12</v>
      </c>
      <c r="F392" t="s">
        <v>34</v>
      </c>
      <c r="G392">
        <v>6</v>
      </c>
      <c r="H392">
        <v>881</v>
      </c>
      <c r="I392" t="str">
        <f>VLOOKUP(D392,Product_Master!A:D,2,FALSE)</f>
        <v>Printer</v>
      </c>
      <c r="J392" t="str">
        <f>VLOOKUP(D392,Product_Master!A:D,3,FALSE)</f>
        <v>Electronics</v>
      </c>
      <c r="K392">
        <f>VLOOKUP(D392,Product_Master!A:D,4,FALSE)</f>
        <v>1100</v>
      </c>
      <c r="L392" t="str">
        <f>VLOOKUP(C392,Customer_Master!A:C,2,FALSE)</f>
        <v>Suresh</v>
      </c>
      <c r="M392" t="str">
        <f>VLOOKUP(C392,Customer_Master!A:C,3,FALSE)</f>
        <v>Consumer</v>
      </c>
      <c r="N392">
        <f>Table1[[#This Row],[Quantity]]*Table1[[#This Row],[Unit_Price]]</f>
        <v>5286</v>
      </c>
      <c r="O392">
        <f>(Table1[[#This Row],[Unit_Price]]-Table1[[#This Row],[Cost_Price]])*Table1[[#This Row],[Quantity]]</f>
        <v>-1314</v>
      </c>
      <c r="P392">
        <f t="shared" si="6"/>
        <v>5286</v>
      </c>
      <c r="Q392" t="str">
        <f>TEXT(Table1[[#This Row],[Order_Date]],"mmm-yyyy")</f>
        <v>Mar-2024</v>
      </c>
    </row>
    <row r="393" spans="1:17" x14ac:dyDescent="0.35">
      <c r="A393" t="s">
        <v>668</v>
      </c>
      <c r="B393" t="s">
        <v>669</v>
      </c>
      <c r="C393" t="s">
        <v>21</v>
      </c>
      <c r="D393" t="s">
        <v>22</v>
      </c>
      <c r="E393" t="s">
        <v>33</v>
      </c>
      <c r="F393" t="s">
        <v>13</v>
      </c>
      <c r="G393">
        <v>2</v>
      </c>
      <c r="H393">
        <v>1564</v>
      </c>
      <c r="I393" t="str">
        <f>VLOOKUP(D393,Product_Master!A:D,2,FALSE)</f>
        <v>Desk</v>
      </c>
      <c r="J393" t="str">
        <f>VLOOKUP(D393,Product_Master!A:D,3,FALSE)</f>
        <v>Furniture</v>
      </c>
      <c r="K393">
        <f>VLOOKUP(D393,Product_Master!A:D,4,FALSE)</f>
        <v>300</v>
      </c>
      <c r="L393" t="str">
        <f>VLOOKUP(C393,Customer_Master!A:C,2,FALSE)</f>
        <v>Reliance</v>
      </c>
      <c r="M393" t="str">
        <f>VLOOKUP(C393,Customer_Master!A:C,3,FALSE)</f>
        <v>Corporate</v>
      </c>
      <c r="N393">
        <f>Table1[[#This Row],[Quantity]]*Table1[[#This Row],[Unit_Price]]</f>
        <v>3128</v>
      </c>
      <c r="O393">
        <f>(Table1[[#This Row],[Unit_Price]]-Table1[[#This Row],[Cost_Price]])*Table1[[#This Row],[Quantity]]</f>
        <v>2528</v>
      </c>
      <c r="P393">
        <f t="shared" si="6"/>
        <v>3128</v>
      </c>
      <c r="Q393" t="str">
        <f>TEXT(Table1[[#This Row],[Order_Date]],"mmm-yyyy")</f>
        <v>Oct-2024</v>
      </c>
    </row>
    <row r="394" spans="1:17" x14ac:dyDescent="0.35">
      <c r="A394" t="s">
        <v>670</v>
      </c>
      <c r="B394" t="s">
        <v>130</v>
      </c>
      <c r="C394" t="s">
        <v>30</v>
      </c>
      <c r="D394" t="s">
        <v>16</v>
      </c>
      <c r="E394" t="s">
        <v>27</v>
      </c>
      <c r="F394" t="s">
        <v>34</v>
      </c>
      <c r="G394">
        <v>3</v>
      </c>
      <c r="H394">
        <v>1805</v>
      </c>
      <c r="I394" t="str">
        <f>VLOOKUP(D394,Product_Master!A:D,2,FALSE)</f>
        <v>Printer</v>
      </c>
      <c r="J394" t="str">
        <f>VLOOKUP(D394,Product_Master!A:D,3,FALSE)</f>
        <v>Electronics</v>
      </c>
      <c r="K394">
        <f>VLOOKUP(D394,Product_Master!A:D,4,FALSE)</f>
        <v>1100</v>
      </c>
      <c r="L394" t="str">
        <f>VLOOKUP(C394,Customer_Master!A:C,2,FALSE)</f>
        <v>Infosys</v>
      </c>
      <c r="M394" t="str">
        <f>VLOOKUP(C394,Customer_Master!A:C,3,FALSE)</f>
        <v>Corporate</v>
      </c>
      <c r="N394">
        <f>Table1[[#This Row],[Quantity]]*Table1[[#This Row],[Unit_Price]]</f>
        <v>5415</v>
      </c>
      <c r="O394">
        <f>(Table1[[#This Row],[Unit_Price]]-Table1[[#This Row],[Cost_Price]])*Table1[[#This Row],[Quantity]]</f>
        <v>2115</v>
      </c>
      <c r="P394">
        <f t="shared" si="6"/>
        <v>5415</v>
      </c>
      <c r="Q394" t="str">
        <f>TEXT(Table1[[#This Row],[Order_Date]],"mmm-yyyy")</f>
        <v>May-2024</v>
      </c>
    </row>
    <row r="395" spans="1:17" x14ac:dyDescent="0.35">
      <c r="A395" t="s">
        <v>671</v>
      </c>
      <c r="B395" t="s">
        <v>672</v>
      </c>
      <c r="C395" t="s">
        <v>21</v>
      </c>
      <c r="D395" t="s">
        <v>11</v>
      </c>
      <c r="E395" t="s">
        <v>17</v>
      </c>
      <c r="F395" t="s">
        <v>18</v>
      </c>
      <c r="G395">
        <v>1</v>
      </c>
      <c r="H395">
        <v>1664</v>
      </c>
      <c r="I395" t="str">
        <f>VLOOKUP(D395,Product_Master!A:D,2,FALSE)</f>
        <v>Chair</v>
      </c>
      <c r="J395" t="str">
        <f>VLOOKUP(D395,Product_Master!A:D,3,FALSE)</f>
        <v>Furniture</v>
      </c>
      <c r="K395">
        <f>VLOOKUP(D395,Product_Master!A:D,4,FALSE)</f>
        <v>150</v>
      </c>
      <c r="L395" t="str">
        <f>VLOOKUP(C395,Customer_Master!A:C,2,FALSE)</f>
        <v>Reliance</v>
      </c>
      <c r="M395" t="str">
        <f>VLOOKUP(C395,Customer_Master!A:C,3,FALSE)</f>
        <v>Corporate</v>
      </c>
      <c r="N395">
        <f>Table1[[#This Row],[Quantity]]*Table1[[#This Row],[Unit_Price]]</f>
        <v>1664</v>
      </c>
      <c r="O395">
        <f>(Table1[[#This Row],[Unit_Price]]-Table1[[#This Row],[Cost_Price]])*Table1[[#This Row],[Quantity]]</f>
        <v>1514</v>
      </c>
      <c r="P395">
        <f t="shared" si="6"/>
        <v>1664</v>
      </c>
      <c r="Q395" t="str">
        <f>TEXT(Table1[[#This Row],[Order_Date]],"mmm-yyyy")</f>
        <v>Mar-2024</v>
      </c>
    </row>
    <row r="396" spans="1:17" x14ac:dyDescent="0.35">
      <c r="A396" t="s">
        <v>673</v>
      </c>
      <c r="B396" t="s">
        <v>391</v>
      </c>
      <c r="C396" t="s">
        <v>30</v>
      </c>
      <c r="D396" t="s">
        <v>37</v>
      </c>
      <c r="E396" t="s">
        <v>12</v>
      </c>
      <c r="F396" t="s">
        <v>18</v>
      </c>
      <c r="G396">
        <v>8</v>
      </c>
      <c r="H396">
        <v>1981</v>
      </c>
      <c r="I396" t="str">
        <f>VLOOKUP(D396,Product_Master!A:D,2,FALSE)</f>
        <v>Mobile</v>
      </c>
      <c r="J396" t="str">
        <f>VLOOKUP(D396,Product_Master!A:D,3,FALSE)</f>
        <v>Electronics</v>
      </c>
      <c r="K396">
        <f>VLOOKUP(D396,Product_Master!A:D,4,FALSE)</f>
        <v>600</v>
      </c>
      <c r="L396" t="str">
        <f>VLOOKUP(C396,Customer_Master!A:C,2,FALSE)</f>
        <v>Infosys</v>
      </c>
      <c r="M396" t="str">
        <f>VLOOKUP(C396,Customer_Master!A:C,3,FALSE)</f>
        <v>Corporate</v>
      </c>
      <c r="N396">
        <f>Table1[[#This Row],[Quantity]]*Table1[[#This Row],[Unit_Price]]</f>
        <v>15848</v>
      </c>
      <c r="O396">
        <f>(Table1[[#This Row],[Unit_Price]]-Table1[[#This Row],[Cost_Price]])*Table1[[#This Row],[Quantity]]</f>
        <v>11048</v>
      </c>
      <c r="P396">
        <f t="shared" si="6"/>
        <v>15848</v>
      </c>
      <c r="Q396" t="str">
        <f>TEXT(Table1[[#This Row],[Order_Date]],"mmm-yyyy")</f>
        <v>Apr-2024</v>
      </c>
    </row>
    <row r="397" spans="1:17" x14ac:dyDescent="0.35">
      <c r="A397" t="s">
        <v>674</v>
      </c>
      <c r="B397" t="s">
        <v>259</v>
      </c>
      <c r="C397" t="s">
        <v>45</v>
      </c>
      <c r="D397" t="s">
        <v>22</v>
      </c>
      <c r="E397" t="s">
        <v>27</v>
      </c>
      <c r="F397" t="s">
        <v>23</v>
      </c>
      <c r="G397">
        <v>10</v>
      </c>
      <c r="H397">
        <v>1665</v>
      </c>
      <c r="I397" t="str">
        <f>VLOOKUP(D397,Product_Master!A:D,2,FALSE)</f>
        <v>Desk</v>
      </c>
      <c r="J397" t="str">
        <f>VLOOKUP(D397,Product_Master!A:D,3,FALSE)</f>
        <v>Furniture</v>
      </c>
      <c r="K397">
        <f>VLOOKUP(D397,Product_Master!A:D,4,FALSE)</f>
        <v>300</v>
      </c>
      <c r="L397" t="str">
        <f>VLOOKUP(C397,Customer_Master!A:C,2,FALSE)</f>
        <v>TCS</v>
      </c>
      <c r="M397" t="str">
        <f>VLOOKUP(C397,Customer_Master!A:C,3,FALSE)</f>
        <v>Corporate</v>
      </c>
      <c r="N397">
        <f>Table1[[#This Row],[Quantity]]*Table1[[#This Row],[Unit_Price]]</f>
        <v>16650</v>
      </c>
      <c r="O397">
        <f>(Table1[[#This Row],[Unit_Price]]-Table1[[#This Row],[Cost_Price]])*Table1[[#This Row],[Quantity]]</f>
        <v>13650</v>
      </c>
      <c r="P397">
        <f t="shared" si="6"/>
        <v>16650</v>
      </c>
      <c r="Q397" t="str">
        <f>TEXT(Table1[[#This Row],[Order_Date]],"mmm-yyyy")</f>
        <v>Apr-2024</v>
      </c>
    </row>
    <row r="398" spans="1:17" x14ac:dyDescent="0.35">
      <c r="A398" t="s">
        <v>675</v>
      </c>
      <c r="B398" t="s">
        <v>317</v>
      </c>
      <c r="C398" t="s">
        <v>21</v>
      </c>
      <c r="D398" t="s">
        <v>26</v>
      </c>
      <c r="E398" t="s">
        <v>27</v>
      </c>
      <c r="F398" t="s">
        <v>18</v>
      </c>
      <c r="G398">
        <v>2</v>
      </c>
      <c r="H398">
        <v>957</v>
      </c>
      <c r="I398" t="str">
        <f>VLOOKUP(D398,Product_Master!A:D,2,FALSE)</f>
        <v>Laptop</v>
      </c>
      <c r="J398" t="str">
        <f>VLOOKUP(D398,Product_Master!A:D,3,FALSE)</f>
        <v>Electronics</v>
      </c>
      <c r="K398">
        <f>VLOOKUP(D398,Product_Master!A:D,4,FALSE)</f>
        <v>900</v>
      </c>
      <c r="L398" t="str">
        <f>VLOOKUP(C398,Customer_Master!A:C,2,FALSE)</f>
        <v>Reliance</v>
      </c>
      <c r="M398" t="str">
        <f>VLOOKUP(C398,Customer_Master!A:C,3,FALSE)</f>
        <v>Corporate</v>
      </c>
      <c r="N398">
        <f>Table1[[#This Row],[Quantity]]*Table1[[#This Row],[Unit_Price]]</f>
        <v>1914</v>
      </c>
      <c r="O398">
        <f>(Table1[[#This Row],[Unit_Price]]-Table1[[#This Row],[Cost_Price]])*Table1[[#This Row],[Quantity]]</f>
        <v>114</v>
      </c>
      <c r="P398">
        <f t="shared" si="6"/>
        <v>1914</v>
      </c>
      <c r="Q398" t="str">
        <f>TEXT(Table1[[#This Row],[Order_Date]],"mmm-yyyy")</f>
        <v>Oct-2024</v>
      </c>
    </row>
    <row r="399" spans="1:17" x14ac:dyDescent="0.35">
      <c r="A399" t="s">
        <v>676</v>
      </c>
      <c r="B399" t="s">
        <v>456</v>
      </c>
      <c r="C399" t="s">
        <v>10</v>
      </c>
      <c r="D399" t="s">
        <v>37</v>
      </c>
      <c r="E399" t="s">
        <v>33</v>
      </c>
      <c r="F399" t="s">
        <v>18</v>
      </c>
      <c r="G399">
        <v>4</v>
      </c>
      <c r="H399">
        <v>882</v>
      </c>
      <c r="I399" t="str">
        <f>VLOOKUP(D399,Product_Master!A:D,2,FALSE)</f>
        <v>Mobile</v>
      </c>
      <c r="J399" t="str">
        <f>VLOOKUP(D399,Product_Master!A:D,3,FALSE)</f>
        <v>Electronics</v>
      </c>
      <c r="K399">
        <f>VLOOKUP(D399,Product_Master!A:D,4,FALSE)</f>
        <v>600</v>
      </c>
      <c r="L399" t="str">
        <f>VLOOKUP(C399,Customer_Master!A:C,2,FALSE)</f>
        <v>Suresh</v>
      </c>
      <c r="M399" t="str">
        <f>VLOOKUP(C399,Customer_Master!A:C,3,FALSE)</f>
        <v>Consumer</v>
      </c>
      <c r="N399">
        <f>Table1[[#This Row],[Quantity]]*Table1[[#This Row],[Unit_Price]]</f>
        <v>3528</v>
      </c>
      <c r="O399">
        <f>(Table1[[#This Row],[Unit_Price]]-Table1[[#This Row],[Cost_Price]])*Table1[[#This Row],[Quantity]]</f>
        <v>1128</v>
      </c>
      <c r="P399">
        <f t="shared" si="6"/>
        <v>3528</v>
      </c>
      <c r="Q399" t="str">
        <f>TEXT(Table1[[#This Row],[Order_Date]],"mmm-yyyy")</f>
        <v>Dec-2024</v>
      </c>
    </row>
    <row r="400" spans="1:17" x14ac:dyDescent="0.35">
      <c r="A400" t="s">
        <v>677</v>
      </c>
      <c r="B400" t="s">
        <v>552</v>
      </c>
      <c r="C400" t="s">
        <v>45</v>
      </c>
      <c r="D400" t="s">
        <v>11</v>
      </c>
      <c r="E400" t="s">
        <v>17</v>
      </c>
      <c r="F400" t="s">
        <v>13</v>
      </c>
      <c r="G400">
        <v>10</v>
      </c>
      <c r="H400">
        <v>1008</v>
      </c>
      <c r="I400" t="str">
        <f>VLOOKUP(D400,Product_Master!A:D,2,FALSE)</f>
        <v>Chair</v>
      </c>
      <c r="J400" t="str">
        <f>VLOOKUP(D400,Product_Master!A:D,3,FALSE)</f>
        <v>Furniture</v>
      </c>
      <c r="K400">
        <f>VLOOKUP(D400,Product_Master!A:D,4,FALSE)</f>
        <v>150</v>
      </c>
      <c r="L400" t="str">
        <f>VLOOKUP(C400,Customer_Master!A:C,2,FALSE)</f>
        <v>TCS</v>
      </c>
      <c r="M400" t="str">
        <f>VLOOKUP(C400,Customer_Master!A:C,3,FALSE)</f>
        <v>Corporate</v>
      </c>
      <c r="N400">
        <f>Table1[[#This Row],[Quantity]]*Table1[[#This Row],[Unit_Price]]</f>
        <v>10080</v>
      </c>
      <c r="O400">
        <f>(Table1[[#This Row],[Unit_Price]]-Table1[[#This Row],[Cost_Price]])*Table1[[#This Row],[Quantity]]</f>
        <v>8580</v>
      </c>
      <c r="P400">
        <f t="shared" si="6"/>
        <v>10080</v>
      </c>
      <c r="Q400" t="str">
        <f>TEXT(Table1[[#This Row],[Order_Date]],"mmm-yyyy")</f>
        <v>Sep-2024</v>
      </c>
    </row>
    <row r="401" spans="1:17" x14ac:dyDescent="0.35">
      <c r="A401" t="s">
        <v>678</v>
      </c>
      <c r="B401" t="s">
        <v>679</v>
      </c>
      <c r="C401" t="s">
        <v>45</v>
      </c>
      <c r="D401" t="s">
        <v>22</v>
      </c>
      <c r="E401" t="s">
        <v>33</v>
      </c>
      <c r="F401" t="s">
        <v>23</v>
      </c>
      <c r="G401">
        <v>2</v>
      </c>
      <c r="H401">
        <v>920</v>
      </c>
      <c r="I401" t="str">
        <f>VLOOKUP(D401,Product_Master!A:D,2,FALSE)</f>
        <v>Desk</v>
      </c>
      <c r="J401" t="str">
        <f>VLOOKUP(D401,Product_Master!A:D,3,FALSE)</f>
        <v>Furniture</v>
      </c>
      <c r="K401">
        <f>VLOOKUP(D401,Product_Master!A:D,4,FALSE)</f>
        <v>300</v>
      </c>
      <c r="L401" t="str">
        <f>VLOOKUP(C401,Customer_Master!A:C,2,FALSE)</f>
        <v>TCS</v>
      </c>
      <c r="M401" t="str">
        <f>VLOOKUP(C401,Customer_Master!A:C,3,FALSE)</f>
        <v>Corporate</v>
      </c>
      <c r="N401">
        <f>Table1[[#This Row],[Quantity]]*Table1[[#This Row],[Unit_Price]]</f>
        <v>1840</v>
      </c>
      <c r="O401">
        <f>(Table1[[#This Row],[Unit_Price]]-Table1[[#This Row],[Cost_Price]])*Table1[[#This Row],[Quantity]]</f>
        <v>1240</v>
      </c>
      <c r="P401">
        <f t="shared" si="6"/>
        <v>1840</v>
      </c>
      <c r="Q401" t="str">
        <f>TEXT(Table1[[#This Row],[Order_Date]],"mmm-yyyy")</f>
        <v>Dec-2024</v>
      </c>
    </row>
    <row r="402" spans="1:17" x14ac:dyDescent="0.35">
      <c r="A402" t="s">
        <v>680</v>
      </c>
      <c r="B402" t="s">
        <v>681</v>
      </c>
      <c r="C402" t="s">
        <v>21</v>
      </c>
      <c r="D402" t="s">
        <v>22</v>
      </c>
      <c r="E402" t="s">
        <v>12</v>
      </c>
      <c r="F402" t="s">
        <v>23</v>
      </c>
      <c r="G402">
        <v>9</v>
      </c>
      <c r="H402">
        <v>1805</v>
      </c>
      <c r="I402" t="str">
        <f>VLOOKUP(D402,Product_Master!A:D,2,FALSE)</f>
        <v>Desk</v>
      </c>
      <c r="J402" t="str">
        <f>VLOOKUP(D402,Product_Master!A:D,3,FALSE)</f>
        <v>Furniture</v>
      </c>
      <c r="K402">
        <f>VLOOKUP(D402,Product_Master!A:D,4,FALSE)</f>
        <v>300</v>
      </c>
      <c r="L402" t="str">
        <f>VLOOKUP(C402,Customer_Master!A:C,2,FALSE)</f>
        <v>Reliance</v>
      </c>
      <c r="M402" t="str">
        <f>VLOOKUP(C402,Customer_Master!A:C,3,FALSE)</f>
        <v>Corporate</v>
      </c>
      <c r="N402">
        <f>Table1[[#This Row],[Quantity]]*Table1[[#This Row],[Unit_Price]]</f>
        <v>16245</v>
      </c>
      <c r="O402">
        <f>(Table1[[#This Row],[Unit_Price]]-Table1[[#This Row],[Cost_Price]])*Table1[[#This Row],[Quantity]]</f>
        <v>13545</v>
      </c>
      <c r="P402">
        <f t="shared" si="6"/>
        <v>16245</v>
      </c>
      <c r="Q402" t="str">
        <f>TEXT(Table1[[#This Row],[Order_Date]],"mmm-yyyy")</f>
        <v>Feb-2024</v>
      </c>
    </row>
    <row r="403" spans="1:17" x14ac:dyDescent="0.35">
      <c r="A403" t="s">
        <v>682</v>
      </c>
      <c r="B403" t="s">
        <v>391</v>
      </c>
      <c r="C403" t="s">
        <v>30</v>
      </c>
      <c r="D403" t="s">
        <v>26</v>
      </c>
      <c r="E403" t="s">
        <v>27</v>
      </c>
      <c r="F403" t="s">
        <v>18</v>
      </c>
      <c r="G403">
        <v>3</v>
      </c>
      <c r="H403">
        <v>1798</v>
      </c>
      <c r="I403" t="str">
        <f>VLOOKUP(D403,Product_Master!A:D,2,FALSE)</f>
        <v>Laptop</v>
      </c>
      <c r="J403" t="str">
        <f>VLOOKUP(D403,Product_Master!A:D,3,FALSE)</f>
        <v>Electronics</v>
      </c>
      <c r="K403">
        <f>VLOOKUP(D403,Product_Master!A:D,4,FALSE)</f>
        <v>900</v>
      </c>
      <c r="L403" t="str">
        <f>VLOOKUP(C403,Customer_Master!A:C,2,FALSE)</f>
        <v>Infosys</v>
      </c>
      <c r="M403" t="str">
        <f>VLOOKUP(C403,Customer_Master!A:C,3,FALSE)</f>
        <v>Corporate</v>
      </c>
      <c r="N403">
        <f>Table1[[#This Row],[Quantity]]*Table1[[#This Row],[Unit_Price]]</f>
        <v>5394</v>
      </c>
      <c r="O403">
        <f>(Table1[[#This Row],[Unit_Price]]-Table1[[#This Row],[Cost_Price]])*Table1[[#This Row],[Quantity]]</f>
        <v>2694</v>
      </c>
      <c r="P403">
        <f t="shared" si="6"/>
        <v>5394</v>
      </c>
      <c r="Q403" t="str">
        <f>TEXT(Table1[[#This Row],[Order_Date]],"mmm-yyyy")</f>
        <v>Apr-2024</v>
      </c>
    </row>
    <row r="404" spans="1:17" x14ac:dyDescent="0.35">
      <c r="A404" t="s">
        <v>683</v>
      </c>
      <c r="B404" t="s">
        <v>281</v>
      </c>
      <c r="C404" t="s">
        <v>21</v>
      </c>
      <c r="D404" t="s">
        <v>22</v>
      </c>
      <c r="E404" t="s">
        <v>12</v>
      </c>
      <c r="F404" t="s">
        <v>23</v>
      </c>
      <c r="G404">
        <v>6</v>
      </c>
      <c r="H404">
        <v>1309</v>
      </c>
      <c r="I404" t="str">
        <f>VLOOKUP(D404,Product_Master!A:D,2,FALSE)</f>
        <v>Desk</v>
      </c>
      <c r="J404" t="str">
        <f>VLOOKUP(D404,Product_Master!A:D,3,FALSE)</f>
        <v>Furniture</v>
      </c>
      <c r="K404">
        <f>VLOOKUP(D404,Product_Master!A:D,4,FALSE)</f>
        <v>300</v>
      </c>
      <c r="L404" t="str">
        <f>VLOOKUP(C404,Customer_Master!A:C,2,FALSE)</f>
        <v>Reliance</v>
      </c>
      <c r="M404" t="str">
        <f>VLOOKUP(C404,Customer_Master!A:C,3,FALSE)</f>
        <v>Corporate</v>
      </c>
      <c r="N404">
        <f>Table1[[#This Row],[Quantity]]*Table1[[#This Row],[Unit_Price]]</f>
        <v>7854</v>
      </c>
      <c r="O404">
        <f>(Table1[[#This Row],[Unit_Price]]-Table1[[#This Row],[Cost_Price]])*Table1[[#This Row],[Quantity]]</f>
        <v>6054</v>
      </c>
      <c r="P404">
        <f t="shared" si="6"/>
        <v>7854</v>
      </c>
      <c r="Q404" t="str">
        <f>TEXT(Table1[[#This Row],[Order_Date]],"mmm-yyyy")</f>
        <v>Apr-2024</v>
      </c>
    </row>
    <row r="405" spans="1:17" x14ac:dyDescent="0.35">
      <c r="A405" t="s">
        <v>684</v>
      </c>
      <c r="B405" t="s">
        <v>685</v>
      </c>
      <c r="C405" t="s">
        <v>42</v>
      </c>
      <c r="D405" t="s">
        <v>26</v>
      </c>
      <c r="E405" t="s">
        <v>12</v>
      </c>
      <c r="F405" t="s">
        <v>13</v>
      </c>
      <c r="G405">
        <v>9</v>
      </c>
      <c r="H405">
        <v>1002</v>
      </c>
      <c r="I405" t="str">
        <f>VLOOKUP(D405,Product_Master!A:D,2,FALSE)</f>
        <v>Laptop</v>
      </c>
      <c r="J405" t="str">
        <f>VLOOKUP(D405,Product_Master!A:D,3,FALSE)</f>
        <v>Electronics</v>
      </c>
      <c r="K405">
        <f>VLOOKUP(D405,Product_Master!A:D,4,FALSE)</f>
        <v>900</v>
      </c>
      <c r="L405" t="str">
        <f>VLOOKUP(C405,Customer_Master!A:C,2,FALSE)</f>
        <v>Ramesh</v>
      </c>
      <c r="M405" t="str">
        <f>VLOOKUP(C405,Customer_Master!A:C,3,FALSE)</f>
        <v>Consumer</v>
      </c>
      <c r="N405">
        <f>Table1[[#This Row],[Quantity]]*Table1[[#This Row],[Unit_Price]]</f>
        <v>9018</v>
      </c>
      <c r="O405">
        <f>(Table1[[#This Row],[Unit_Price]]-Table1[[#This Row],[Cost_Price]])*Table1[[#This Row],[Quantity]]</f>
        <v>918</v>
      </c>
      <c r="P405">
        <f t="shared" si="6"/>
        <v>9018</v>
      </c>
      <c r="Q405" t="str">
        <f>TEXT(Table1[[#This Row],[Order_Date]],"mmm-yyyy")</f>
        <v>Aug-2024</v>
      </c>
    </row>
    <row r="406" spans="1:17" x14ac:dyDescent="0.35">
      <c r="A406" t="s">
        <v>686</v>
      </c>
      <c r="B406" t="s">
        <v>36</v>
      </c>
      <c r="C406" t="s">
        <v>10</v>
      </c>
      <c r="D406" t="s">
        <v>11</v>
      </c>
      <c r="E406" t="s">
        <v>27</v>
      </c>
      <c r="F406" t="s">
        <v>34</v>
      </c>
      <c r="G406">
        <v>3</v>
      </c>
      <c r="H406">
        <v>1244</v>
      </c>
      <c r="I406" t="str">
        <f>VLOOKUP(D406,Product_Master!A:D,2,FALSE)</f>
        <v>Chair</v>
      </c>
      <c r="J406" t="str">
        <f>VLOOKUP(D406,Product_Master!A:D,3,FALSE)</f>
        <v>Furniture</v>
      </c>
      <c r="K406">
        <f>VLOOKUP(D406,Product_Master!A:D,4,FALSE)</f>
        <v>150</v>
      </c>
      <c r="L406" t="str">
        <f>VLOOKUP(C406,Customer_Master!A:C,2,FALSE)</f>
        <v>Suresh</v>
      </c>
      <c r="M406" t="str">
        <f>VLOOKUP(C406,Customer_Master!A:C,3,FALSE)</f>
        <v>Consumer</v>
      </c>
      <c r="N406">
        <f>Table1[[#This Row],[Quantity]]*Table1[[#This Row],[Unit_Price]]</f>
        <v>3732</v>
      </c>
      <c r="O406">
        <f>(Table1[[#This Row],[Unit_Price]]-Table1[[#This Row],[Cost_Price]])*Table1[[#This Row],[Quantity]]</f>
        <v>3282</v>
      </c>
      <c r="P406">
        <f t="shared" si="6"/>
        <v>3732</v>
      </c>
      <c r="Q406" t="str">
        <f>TEXT(Table1[[#This Row],[Order_Date]],"mmm-yyyy")</f>
        <v>Nov-2024</v>
      </c>
    </row>
    <row r="407" spans="1:17" x14ac:dyDescent="0.35">
      <c r="A407" t="s">
        <v>687</v>
      </c>
      <c r="B407" t="s">
        <v>366</v>
      </c>
      <c r="C407" t="s">
        <v>45</v>
      </c>
      <c r="D407" t="s">
        <v>22</v>
      </c>
      <c r="E407" t="s">
        <v>33</v>
      </c>
      <c r="F407" t="s">
        <v>18</v>
      </c>
      <c r="G407">
        <v>6</v>
      </c>
      <c r="H407">
        <v>899</v>
      </c>
      <c r="I407" t="str">
        <f>VLOOKUP(D407,Product_Master!A:D,2,FALSE)</f>
        <v>Desk</v>
      </c>
      <c r="J407" t="str">
        <f>VLOOKUP(D407,Product_Master!A:D,3,FALSE)</f>
        <v>Furniture</v>
      </c>
      <c r="K407">
        <f>VLOOKUP(D407,Product_Master!A:D,4,FALSE)</f>
        <v>300</v>
      </c>
      <c r="L407" t="str">
        <f>VLOOKUP(C407,Customer_Master!A:C,2,FALSE)</f>
        <v>TCS</v>
      </c>
      <c r="M407" t="str">
        <f>VLOOKUP(C407,Customer_Master!A:C,3,FALSE)</f>
        <v>Corporate</v>
      </c>
      <c r="N407">
        <f>Table1[[#This Row],[Quantity]]*Table1[[#This Row],[Unit_Price]]</f>
        <v>5394</v>
      </c>
      <c r="O407">
        <f>(Table1[[#This Row],[Unit_Price]]-Table1[[#This Row],[Cost_Price]])*Table1[[#This Row],[Quantity]]</f>
        <v>3594</v>
      </c>
      <c r="P407">
        <f t="shared" si="6"/>
        <v>5394</v>
      </c>
      <c r="Q407" t="str">
        <f>TEXT(Table1[[#This Row],[Order_Date]],"mmm-yyyy")</f>
        <v>Mar-2024</v>
      </c>
    </row>
    <row r="408" spans="1:17" x14ac:dyDescent="0.35">
      <c r="A408" t="s">
        <v>688</v>
      </c>
      <c r="B408" t="s">
        <v>429</v>
      </c>
      <c r="C408" t="s">
        <v>10</v>
      </c>
      <c r="D408" t="s">
        <v>11</v>
      </c>
      <c r="E408" t="s">
        <v>12</v>
      </c>
      <c r="F408" t="s">
        <v>34</v>
      </c>
      <c r="G408">
        <v>3</v>
      </c>
      <c r="H408">
        <v>1784</v>
      </c>
      <c r="I408" t="str">
        <f>VLOOKUP(D408,Product_Master!A:D,2,FALSE)</f>
        <v>Chair</v>
      </c>
      <c r="J408" t="str">
        <f>VLOOKUP(D408,Product_Master!A:D,3,FALSE)</f>
        <v>Furniture</v>
      </c>
      <c r="K408">
        <f>VLOOKUP(D408,Product_Master!A:D,4,FALSE)</f>
        <v>150</v>
      </c>
      <c r="L408" t="str">
        <f>VLOOKUP(C408,Customer_Master!A:C,2,FALSE)</f>
        <v>Suresh</v>
      </c>
      <c r="M408" t="str">
        <f>VLOOKUP(C408,Customer_Master!A:C,3,FALSE)</f>
        <v>Consumer</v>
      </c>
      <c r="N408">
        <f>Table1[[#This Row],[Quantity]]*Table1[[#This Row],[Unit_Price]]</f>
        <v>5352</v>
      </c>
      <c r="O408">
        <f>(Table1[[#This Row],[Unit_Price]]-Table1[[#This Row],[Cost_Price]])*Table1[[#This Row],[Quantity]]</f>
        <v>4902</v>
      </c>
      <c r="P408">
        <f t="shared" si="6"/>
        <v>5352</v>
      </c>
      <c r="Q408" t="str">
        <f>TEXT(Table1[[#This Row],[Order_Date]],"mmm-yyyy")</f>
        <v>May-2024</v>
      </c>
    </row>
    <row r="409" spans="1:17" x14ac:dyDescent="0.35">
      <c r="A409" t="s">
        <v>689</v>
      </c>
      <c r="B409" t="s">
        <v>690</v>
      </c>
      <c r="C409" t="s">
        <v>21</v>
      </c>
      <c r="D409" t="s">
        <v>37</v>
      </c>
      <c r="E409" t="s">
        <v>12</v>
      </c>
      <c r="F409" t="s">
        <v>34</v>
      </c>
      <c r="G409">
        <v>3</v>
      </c>
      <c r="H409">
        <v>1480</v>
      </c>
      <c r="I409" t="str">
        <f>VLOOKUP(D409,Product_Master!A:D,2,FALSE)</f>
        <v>Mobile</v>
      </c>
      <c r="J409" t="str">
        <f>VLOOKUP(D409,Product_Master!A:D,3,FALSE)</f>
        <v>Electronics</v>
      </c>
      <c r="K409">
        <f>VLOOKUP(D409,Product_Master!A:D,4,FALSE)</f>
        <v>600</v>
      </c>
      <c r="L409" t="str">
        <f>VLOOKUP(C409,Customer_Master!A:C,2,FALSE)</f>
        <v>Reliance</v>
      </c>
      <c r="M409" t="str">
        <f>VLOOKUP(C409,Customer_Master!A:C,3,FALSE)</f>
        <v>Corporate</v>
      </c>
      <c r="N409">
        <f>Table1[[#This Row],[Quantity]]*Table1[[#This Row],[Unit_Price]]</f>
        <v>4440</v>
      </c>
      <c r="O409">
        <f>(Table1[[#This Row],[Unit_Price]]-Table1[[#This Row],[Cost_Price]])*Table1[[#This Row],[Quantity]]</f>
        <v>2640</v>
      </c>
      <c r="P409">
        <f t="shared" si="6"/>
        <v>4440</v>
      </c>
      <c r="Q409" t="str">
        <f>TEXT(Table1[[#This Row],[Order_Date]],"mmm-yyyy")</f>
        <v>Oct-2024</v>
      </c>
    </row>
    <row r="410" spans="1:17" x14ac:dyDescent="0.35">
      <c r="A410" t="s">
        <v>691</v>
      </c>
      <c r="B410" t="s">
        <v>690</v>
      </c>
      <c r="C410" t="s">
        <v>21</v>
      </c>
      <c r="D410" t="s">
        <v>16</v>
      </c>
      <c r="E410" t="s">
        <v>17</v>
      </c>
      <c r="F410" t="s">
        <v>34</v>
      </c>
      <c r="G410">
        <v>8</v>
      </c>
      <c r="H410">
        <v>1804</v>
      </c>
      <c r="I410" t="str">
        <f>VLOOKUP(D410,Product_Master!A:D,2,FALSE)</f>
        <v>Printer</v>
      </c>
      <c r="J410" t="str">
        <f>VLOOKUP(D410,Product_Master!A:D,3,FALSE)</f>
        <v>Electronics</v>
      </c>
      <c r="K410">
        <f>VLOOKUP(D410,Product_Master!A:D,4,FALSE)</f>
        <v>1100</v>
      </c>
      <c r="L410" t="str">
        <f>VLOOKUP(C410,Customer_Master!A:C,2,FALSE)</f>
        <v>Reliance</v>
      </c>
      <c r="M410" t="str">
        <f>VLOOKUP(C410,Customer_Master!A:C,3,FALSE)</f>
        <v>Corporate</v>
      </c>
      <c r="N410">
        <f>Table1[[#This Row],[Quantity]]*Table1[[#This Row],[Unit_Price]]</f>
        <v>14432</v>
      </c>
      <c r="O410">
        <f>(Table1[[#This Row],[Unit_Price]]-Table1[[#This Row],[Cost_Price]])*Table1[[#This Row],[Quantity]]</f>
        <v>5632</v>
      </c>
      <c r="P410">
        <f t="shared" si="6"/>
        <v>14432</v>
      </c>
      <c r="Q410" t="str">
        <f>TEXT(Table1[[#This Row],[Order_Date]],"mmm-yyyy")</f>
        <v>Oct-2024</v>
      </c>
    </row>
    <row r="411" spans="1:17" x14ac:dyDescent="0.35">
      <c r="A411" t="s">
        <v>692</v>
      </c>
      <c r="B411" t="s">
        <v>693</v>
      </c>
      <c r="C411" t="s">
        <v>30</v>
      </c>
      <c r="D411" t="s">
        <v>16</v>
      </c>
      <c r="E411" t="s">
        <v>17</v>
      </c>
      <c r="F411" t="s">
        <v>34</v>
      </c>
      <c r="G411">
        <v>2</v>
      </c>
      <c r="H411">
        <v>1356</v>
      </c>
      <c r="I411" t="str">
        <f>VLOOKUP(D411,Product_Master!A:D,2,FALSE)</f>
        <v>Printer</v>
      </c>
      <c r="J411" t="str">
        <f>VLOOKUP(D411,Product_Master!A:D,3,FALSE)</f>
        <v>Electronics</v>
      </c>
      <c r="K411">
        <f>VLOOKUP(D411,Product_Master!A:D,4,FALSE)</f>
        <v>1100</v>
      </c>
      <c r="L411" t="str">
        <f>VLOOKUP(C411,Customer_Master!A:C,2,FALSE)</f>
        <v>Infosys</v>
      </c>
      <c r="M411" t="str">
        <f>VLOOKUP(C411,Customer_Master!A:C,3,FALSE)</f>
        <v>Corporate</v>
      </c>
      <c r="N411">
        <f>Table1[[#This Row],[Quantity]]*Table1[[#This Row],[Unit_Price]]</f>
        <v>2712</v>
      </c>
      <c r="O411">
        <f>(Table1[[#This Row],[Unit_Price]]-Table1[[#This Row],[Cost_Price]])*Table1[[#This Row],[Quantity]]</f>
        <v>512</v>
      </c>
      <c r="P411">
        <f t="shared" si="6"/>
        <v>2712</v>
      </c>
      <c r="Q411" t="str">
        <f>TEXT(Table1[[#This Row],[Order_Date]],"mmm-yyyy")</f>
        <v>May-2024</v>
      </c>
    </row>
    <row r="412" spans="1:17" x14ac:dyDescent="0.35">
      <c r="A412" t="s">
        <v>694</v>
      </c>
      <c r="B412" t="s">
        <v>580</v>
      </c>
      <c r="C412" t="s">
        <v>30</v>
      </c>
      <c r="D412" t="s">
        <v>22</v>
      </c>
      <c r="E412" t="s">
        <v>33</v>
      </c>
      <c r="F412" t="s">
        <v>18</v>
      </c>
      <c r="G412">
        <v>5</v>
      </c>
      <c r="H412">
        <v>810</v>
      </c>
      <c r="I412" t="str">
        <f>VLOOKUP(D412,Product_Master!A:D,2,FALSE)</f>
        <v>Desk</v>
      </c>
      <c r="J412" t="str">
        <f>VLOOKUP(D412,Product_Master!A:D,3,FALSE)</f>
        <v>Furniture</v>
      </c>
      <c r="K412">
        <f>VLOOKUP(D412,Product_Master!A:D,4,FALSE)</f>
        <v>300</v>
      </c>
      <c r="L412" t="str">
        <f>VLOOKUP(C412,Customer_Master!A:C,2,FALSE)</f>
        <v>Infosys</v>
      </c>
      <c r="M412" t="str">
        <f>VLOOKUP(C412,Customer_Master!A:C,3,FALSE)</f>
        <v>Corporate</v>
      </c>
      <c r="N412">
        <f>Table1[[#This Row],[Quantity]]*Table1[[#This Row],[Unit_Price]]</f>
        <v>4050</v>
      </c>
      <c r="O412">
        <f>(Table1[[#This Row],[Unit_Price]]-Table1[[#This Row],[Cost_Price]])*Table1[[#This Row],[Quantity]]</f>
        <v>2550</v>
      </c>
      <c r="P412">
        <f t="shared" si="6"/>
        <v>4050</v>
      </c>
      <c r="Q412" t="str">
        <f>TEXT(Table1[[#This Row],[Order_Date]],"mmm-yyyy")</f>
        <v>Jan-2024</v>
      </c>
    </row>
    <row r="413" spans="1:17" x14ac:dyDescent="0.35">
      <c r="A413" t="s">
        <v>695</v>
      </c>
      <c r="B413" t="s">
        <v>107</v>
      </c>
      <c r="C413" t="s">
        <v>10</v>
      </c>
      <c r="D413" t="s">
        <v>22</v>
      </c>
      <c r="E413" t="s">
        <v>17</v>
      </c>
      <c r="F413" t="s">
        <v>18</v>
      </c>
      <c r="G413">
        <v>1</v>
      </c>
      <c r="H413">
        <v>1410</v>
      </c>
      <c r="I413" t="str">
        <f>VLOOKUP(D413,Product_Master!A:D,2,FALSE)</f>
        <v>Desk</v>
      </c>
      <c r="J413" t="str">
        <f>VLOOKUP(D413,Product_Master!A:D,3,FALSE)</f>
        <v>Furniture</v>
      </c>
      <c r="K413">
        <f>VLOOKUP(D413,Product_Master!A:D,4,FALSE)</f>
        <v>300</v>
      </c>
      <c r="L413" t="str">
        <f>VLOOKUP(C413,Customer_Master!A:C,2,FALSE)</f>
        <v>Suresh</v>
      </c>
      <c r="M413" t="str">
        <f>VLOOKUP(C413,Customer_Master!A:C,3,FALSE)</f>
        <v>Consumer</v>
      </c>
      <c r="N413">
        <f>Table1[[#This Row],[Quantity]]*Table1[[#This Row],[Unit_Price]]</f>
        <v>1410</v>
      </c>
      <c r="O413">
        <f>(Table1[[#This Row],[Unit_Price]]-Table1[[#This Row],[Cost_Price]])*Table1[[#This Row],[Quantity]]</f>
        <v>1110</v>
      </c>
      <c r="P413">
        <f t="shared" si="6"/>
        <v>1410</v>
      </c>
      <c r="Q413" t="str">
        <f>TEXT(Table1[[#This Row],[Order_Date]],"mmm-yyyy")</f>
        <v>Jul-2024</v>
      </c>
    </row>
    <row r="414" spans="1:17" x14ac:dyDescent="0.35">
      <c r="A414" t="s">
        <v>696</v>
      </c>
      <c r="B414" t="s">
        <v>492</v>
      </c>
      <c r="C414" t="s">
        <v>30</v>
      </c>
      <c r="D414" t="s">
        <v>11</v>
      </c>
      <c r="E414" t="s">
        <v>17</v>
      </c>
      <c r="F414" t="s">
        <v>34</v>
      </c>
      <c r="G414">
        <v>1</v>
      </c>
      <c r="H414">
        <v>1970</v>
      </c>
      <c r="I414" t="str">
        <f>VLOOKUP(D414,Product_Master!A:D,2,FALSE)</f>
        <v>Chair</v>
      </c>
      <c r="J414" t="str">
        <f>VLOOKUP(D414,Product_Master!A:D,3,FALSE)</f>
        <v>Furniture</v>
      </c>
      <c r="K414">
        <f>VLOOKUP(D414,Product_Master!A:D,4,FALSE)</f>
        <v>150</v>
      </c>
      <c r="L414" t="str">
        <f>VLOOKUP(C414,Customer_Master!A:C,2,FALSE)</f>
        <v>Infosys</v>
      </c>
      <c r="M414" t="str">
        <f>VLOOKUP(C414,Customer_Master!A:C,3,FALSE)</f>
        <v>Corporate</v>
      </c>
      <c r="N414">
        <f>Table1[[#This Row],[Quantity]]*Table1[[#This Row],[Unit_Price]]</f>
        <v>1970</v>
      </c>
      <c r="O414">
        <f>(Table1[[#This Row],[Unit_Price]]-Table1[[#This Row],[Cost_Price]])*Table1[[#This Row],[Quantity]]</f>
        <v>1820</v>
      </c>
      <c r="P414">
        <f t="shared" si="6"/>
        <v>1970</v>
      </c>
      <c r="Q414" t="str">
        <f>TEXT(Table1[[#This Row],[Order_Date]],"mmm-yyyy")</f>
        <v>Jul-2024</v>
      </c>
    </row>
    <row r="415" spans="1:17" x14ac:dyDescent="0.35">
      <c r="A415" t="s">
        <v>697</v>
      </c>
      <c r="B415" t="s">
        <v>78</v>
      </c>
      <c r="C415" t="s">
        <v>30</v>
      </c>
      <c r="D415" t="s">
        <v>11</v>
      </c>
      <c r="E415" t="s">
        <v>33</v>
      </c>
      <c r="F415" t="s">
        <v>18</v>
      </c>
      <c r="G415">
        <v>8</v>
      </c>
      <c r="H415">
        <v>1395</v>
      </c>
      <c r="I415" t="str">
        <f>VLOOKUP(D415,Product_Master!A:D,2,FALSE)</f>
        <v>Chair</v>
      </c>
      <c r="J415" t="str">
        <f>VLOOKUP(D415,Product_Master!A:D,3,FALSE)</f>
        <v>Furniture</v>
      </c>
      <c r="K415">
        <f>VLOOKUP(D415,Product_Master!A:D,4,FALSE)</f>
        <v>150</v>
      </c>
      <c r="L415" t="str">
        <f>VLOOKUP(C415,Customer_Master!A:C,2,FALSE)</f>
        <v>Infosys</v>
      </c>
      <c r="M415" t="str">
        <f>VLOOKUP(C415,Customer_Master!A:C,3,FALSE)</f>
        <v>Corporate</v>
      </c>
      <c r="N415">
        <f>Table1[[#This Row],[Quantity]]*Table1[[#This Row],[Unit_Price]]</f>
        <v>11160</v>
      </c>
      <c r="O415">
        <f>(Table1[[#This Row],[Unit_Price]]-Table1[[#This Row],[Cost_Price]])*Table1[[#This Row],[Quantity]]</f>
        <v>9960</v>
      </c>
      <c r="P415">
        <f t="shared" si="6"/>
        <v>11160</v>
      </c>
      <c r="Q415" t="str">
        <f>TEXT(Table1[[#This Row],[Order_Date]],"mmm-yyyy")</f>
        <v>Dec-2024</v>
      </c>
    </row>
    <row r="416" spans="1:17" x14ac:dyDescent="0.35">
      <c r="A416" t="s">
        <v>698</v>
      </c>
      <c r="B416" t="s">
        <v>49</v>
      </c>
      <c r="C416" t="s">
        <v>45</v>
      </c>
      <c r="D416" t="s">
        <v>22</v>
      </c>
      <c r="E416" t="s">
        <v>12</v>
      </c>
      <c r="F416" t="s">
        <v>13</v>
      </c>
      <c r="G416">
        <v>9</v>
      </c>
      <c r="H416">
        <v>927</v>
      </c>
      <c r="I416" t="str">
        <f>VLOOKUP(D416,Product_Master!A:D,2,FALSE)</f>
        <v>Desk</v>
      </c>
      <c r="J416" t="str">
        <f>VLOOKUP(D416,Product_Master!A:D,3,FALSE)</f>
        <v>Furniture</v>
      </c>
      <c r="K416">
        <f>VLOOKUP(D416,Product_Master!A:D,4,FALSE)</f>
        <v>300</v>
      </c>
      <c r="L416" t="str">
        <f>VLOOKUP(C416,Customer_Master!A:C,2,FALSE)</f>
        <v>TCS</v>
      </c>
      <c r="M416" t="str">
        <f>VLOOKUP(C416,Customer_Master!A:C,3,FALSE)</f>
        <v>Corporate</v>
      </c>
      <c r="N416">
        <f>Table1[[#This Row],[Quantity]]*Table1[[#This Row],[Unit_Price]]</f>
        <v>8343</v>
      </c>
      <c r="O416">
        <f>(Table1[[#This Row],[Unit_Price]]-Table1[[#This Row],[Cost_Price]])*Table1[[#This Row],[Quantity]]</f>
        <v>5643</v>
      </c>
      <c r="P416">
        <f t="shared" si="6"/>
        <v>8343</v>
      </c>
      <c r="Q416" t="str">
        <f>TEXT(Table1[[#This Row],[Order_Date]],"mmm-yyyy")</f>
        <v>Oct-2024</v>
      </c>
    </row>
    <row r="417" spans="1:17" x14ac:dyDescent="0.35">
      <c r="A417" t="s">
        <v>699</v>
      </c>
      <c r="B417" t="s">
        <v>700</v>
      </c>
      <c r="C417" t="s">
        <v>42</v>
      </c>
      <c r="D417" t="s">
        <v>37</v>
      </c>
      <c r="E417" t="s">
        <v>12</v>
      </c>
      <c r="F417" t="s">
        <v>18</v>
      </c>
      <c r="G417">
        <v>2</v>
      </c>
      <c r="H417">
        <v>1890</v>
      </c>
      <c r="I417" t="str">
        <f>VLOOKUP(D417,Product_Master!A:D,2,FALSE)</f>
        <v>Mobile</v>
      </c>
      <c r="J417" t="str">
        <f>VLOOKUP(D417,Product_Master!A:D,3,FALSE)</f>
        <v>Electronics</v>
      </c>
      <c r="K417">
        <f>VLOOKUP(D417,Product_Master!A:D,4,FALSE)</f>
        <v>600</v>
      </c>
      <c r="L417" t="str">
        <f>VLOOKUP(C417,Customer_Master!A:C,2,FALSE)</f>
        <v>Ramesh</v>
      </c>
      <c r="M417" t="str">
        <f>VLOOKUP(C417,Customer_Master!A:C,3,FALSE)</f>
        <v>Consumer</v>
      </c>
      <c r="N417">
        <f>Table1[[#This Row],[Quantity]]*Table1[[#This Row],[Unit_Price]]</f>
        <v>3780</v>
      </c>
      <c r="O417">
        <f>(Table1[[#This Row],[Unit_Price]]-Table1[[#This Row],[Cost_Price]])*Table1[[#This Row],[Quantity]]</f>
        <v>2580</v>
      </c>
      <c r="P417">
        <f t="shared" si="6"/>
        <v>3780</v>
      </c>
      <c r="Q417" t="str">
        <f>TEXT(Table1[[#This Row],[Order_Date]],"mmm-yyyy")</f>
        <v>Aug-2024</v>
      </c>
    </row>
    <row r="418" spans="1:17" x14ac:dyDescent="0.35">
      <c r="A418" t="s">
        <v>701</v>
      </c>
      <c r="B418" t="s">
        <v>702</v>
      </c>
      <c r="C418" t="s">
        <v>21</v>
      </c>
      <c r="D418" t="s">
        <v>22</v>
      </c>
      <c r="E418" t="s">
        <v>17</v>
      </c>
      <c r="F418" t="s">
        <v>13</v>
      </c>
      <c r="G418">
        <v>2</v>
      </c>
      <c r="H418">
        <v>1965</v>
      </c>
      <c r="I418" t="str">
        <f>VLOOKUP(D418,Product_Master!A:D,2,FALSE)</f>
        <v>Desk</v>
      </c>
      <c r="J418" t="str">
        <f>VLOOKUP(D418,Product_Master!A:D,3,FALSE)</f>
        <v>Furniture</v>
      </c>
      <c r="K418">
        <f>VLOOKUP(D418,Product_Master!A:D,4,FALSE)</f>
        <v>300</v>
      </c>
      <c r="L418" t="str">
        <f>VLOOKUP(C418,Customer_Master!A:C,2,FALSE)</f>
        <v>Reliance</v>
      </c>
      <c r="M418" t="str">
        <f>VLOOKUP(C418,Customer_Master!A:C,3,FALSE)</f>
        <v>Corporate</v>
      </c>
      <c r="N418">
        <f>Table1[[#This Row],[Quantity]]*Table1[[#This Row],[Unit_Price]]</f>
        <v>3930</v>
      </c>
      <c r="O418">
        <f>(Table1[[#This Row],[Unit_Price]]-Table1[[#This Row],[Cost_Price]])*Table1[[#This Row],[Quantity]]</f>
        <v>3330</v>
      </c>
      <c r="P418">
        <f t="shared" si="6"/>
        <v>3930</v>
      </c>
      <c r="Q418" t="str">
        <f>TEXT(Table1[[#This Row],[Order_Date]],"mmm-yyyy")</f>
        <v>Jun-2024</v>
      </c>
    </row>
    <row r="419" spans="1:17" x14ac:dyDescent="0.35">
      <c r="A419" t="s">
        <v>703</v>
      </c>
      <c r="B419" t="s">
        <v>704</v>
      </c>
      <c r="C419" t="s">
        <v>45</v>
      </c>
      <c r="D419" t="s">
        <v>26</v>
      </c>
      <c r="E419" t="s">
        <v>17</v>
      </c>
      <c r="F419" t="s">
        <v>18</v>
      </c>
      <c r="G419">
        <v>8</v>
      </c>
      <c r="H419">
        <v>969</v>
      </c>
      <c r="I419" t="str">
        <f>VLOOKUP(D419,Product_Master!A:D,2,FALSE)</f>
        <v>Laptop</v>
      </c>
      <c r="J419" t="str">
        <f>VLOOKUP(D419,Product_Master!A:D,3,FALSE)</f>
        <v>Electronics</v>
      </c>
      <c r="K419">
        <f>VLOOKUP(D419,Product_Master!A:D,4,FALSE)</f>
        <v>900</v>
      </c>
      <c r="L419" t="str">
        <f>VLOOKUP(C419,Customer_Master!A:C,2,FALSE)</f>
        <v>TCS</v>
      </c>
      <c r="M419" t="str">
        <f>VLOOKUP(C419,Customer_Master!A:C,3,FALSE)</f>
        <v>Corporate</v>
      </c>
      <c r="N419">
        <f>Table1[[#This Row],[Quantity]]*Table1[[#This Row],[Unit_Price]]</f>
        <v>7752</v>
      </c>
      <c r="O419">
        <f>(Table1[[#This Row],[Unit_Price]]-Table1[[#This Row],[Cost_Price]])*Table1[[#This Row],[Quantity]]</f>
        <v>552</v>
      </c>
      <c r="P419">
        <f t="shared" si="6"/>
        <v>7752</v>
      </c>
      <c r="Q419" t="str">
        <f>TEXT(Table1[[#This Row],[Order_Date]],"mmm-yyyy")</f>
        <v>Aug-2024</v>
      </c>
    </row>
    <row r="420" spans="1:17" x14ac:dyDescent="0.35">
      <c r="A420" t="s">
        <v>705</v>
      </c>
      <c r="B420" t="s">
        <v>706</v>
      </c>
      <c r="C420" t="s">
        <v>10</v>
      </c>
      <c r="D420" t="s">
        <v>22</v>
      </c>
      <c r="E420" t="s">
        <v>17</v>
      </c>
      <c r="F420" t="s">
        <v>18</v>
      </c>
      <c r="G420">
        <v>1</v>
      </c>
      <c r="H420">
        <v>910</v>
      </c>
      <c r="I420" t="str">
        <f>VLOOKUP(D420,Product_Master!A:D,2,FALSE)</f>
        <v>Desk</v>
      </c>
      <c r="J420" t="str">
        <f>VLOOKUP(D420,Product_Master!A:D,3,FALSE)</f>
        <v>Furniture</v>
      </c>
      <c r="K420">
        <f>VLOOKUP(D420,Product_Master!A:D,4,FALSE)</f>
        <v>300</v>
      </c>
      <c r="L420" t="str">
        <f>VLOOKUP(C420,Customer_Master!A:C,2,FALSE)</f>
        <v>Suresh</v>
      </c>
      <c r="M420" t="str">
        <f>VLOOKUP(C420,Customer_Master!A:C,3,FALSE)</f>
        <v>Consumer</v>
      </c>
      <c r="N420">
        <f>Table1[[#This Row],[Quantity]]*Table1[[#This Row],[Unit_Price]]</f>
        <v>910</v>
      </c>
      <c r="O420">
        <f>(Table1[[#This Row],[Unit_Price]]-Table1[[#This Row],[Cost_Price]])*Table1[[#This Row],[Quantity]]</f>
        <v>610</v>
      </c>
      <c r="P420">
        <f t="shared" si="6"/>
        <v>910</v>
      </c>
      <c r="Q420" t="str">
        <f>TEXT(Table1[[#This Row],[Order_Date]],"mmm-yyyy")</f>
        <v>Nov-2024</v>
      </c>
    </row>
    <row r="421" spans="1:17" x14ac:dyDescent="0.35">
      <c r="A421" t="s">
        <v>707</v>
      </c>
      <c r="B421" t="s">
        <v>88</v>
      </c>
      <c r="C421" t="s">
        <v>21</v>
      </c>
      <c r="D421" t="s">
        <v>37</v>
      </c>
      <c r="E421" t="s">
        <v>27</v>
      </c>
      <c r="F421" t="s">
        <v>23</v>
      </c>
      <c r="G421">
        <v>4</v>
      </c>
      <c r="H421">
        <v>1596</v>
      </c>
      <c r="I421" t="str">
        <f>VLOOKUP(D421,Product_Master!A:D,2,FALSE)</f>
        <v>Mobile</v>
      </c>
      <c r="J421" t="str">
        <f>VLOOKUP(D421,Product_Master!A:D,3,FALSE)</f>
        <v>Electronics</v>
      </c>
      <c r="K421">
        <f>VLOOKUP(D421,Product_Master!A:D,4,FALSE)</f>
        <v>600</v>
      </c>
      <c r="L421" t="str">
        <f>VLOOKUP(C421,Customer_Master!A:C,2,FALSE)</f>
        <v>Reliance</v>
      </c>
      <c r="M421" t="str">
        <f>VLOOKUP(C421,Customer_Master!A:C,3,FALSE)</f>
        <v>Corporate</v>
      </c>
      <c r="N421">
        <f>Table1[[#This Row],[Quantity]]*Table1[[#This Row],[Unit_Price]]</f>
        <v>6384</v>
      </c>
      <c r="O421">
        <f>(Table1[[#This Row],[Unit_Price]]-Table1[[#This Row],[Cost_Price]])*Table1[[#This Row],[Quantity]]</f>
        <v>3984</v>
      </c>
      <c r="P421">
        <f t="shared" si="6"/>
        <v>6384</v>
      </c>
      <c r="Q421" t="str">
        <f>TEXT(Table1[[#This Row],[Order_Date]],"mmm-yyyy")</f>
        <v>Jul-2024</v>
      </c>
    </row>
    <row r="422" spans="1:17" x14ac:dyDescent="0.35">
      <c r="A422" t="s">
        <v>708</v>
      </c>
      <c r="B422" t="s">
        <v>230</v>
      </c>
      <c r="C422" t="s">
        <v>10</v>
      </c>
      <c r="D422" t="s">
        <v>16</v>
      </c>
      <c r="E422" t="s">
        <v>33</v>
      </c>
      <c r="F422" t="s">
        <v>18</v>
      </c>
      <c r="G422">
        <v>10</v>
      </c>
      <c r="H422">
        <v>1277</v>
      </c>
      <c r="I422" t="str">
        <f>VLOOKUP(D422,Product_Master!A:D,2,FALSE)</f>
        <v>Printer</v>
      </c>
      <c r="J422" t="str">
        <f>VLOOKUP(D422,Product_Master!A:D,3,FALSE)</f>
        <v>Electronics</v>
      </c>
      <c r="K422">
        <f>VLOOKUP(D422,Product_Master!A:D,4,FALSE)</f>
        <v>1100</v>
      </c>
      <c r="L422" t="str">
        <f>VLOOKUP(C422,Customer_Master!A:C,2,FALSE)</f>
        <v>Suresh</v>
      </c>
      <c r="M422" t="str">
        <f>VLOOKUP(C422,Customer_Master!A:C,3,FALSE)</f>
        <v>Consumer</v>
      </c>
      <c r="N422">
        <f>Table1[[#This Row],[Quantity]]*Table1[[#This Row],[Unit_Price]]</f>
        <v>12770</v>
      </c>
      <c r="O422">
        <f>(Table1[[#This Row],[Unit_Price]]-Table1[[#This Row],[Cost_Price]])*Table1[[#This Row],[Quantity]]</f>
        <v>1770</v>
      </c>
      <c r="P422">
        <f t="shared" si="6"/>
        <v>12770</v>
      </c>
      <c r="Q422" t="str">
        <f>TEXT(Table1[[#This Row],[Order_Date]],"mmm-yyyy")</f>
        <v>Jan-2024</v>
      </c>
    </row>
    <row r="423" spans="1:17" x14ac:dyDescent="0.35">
      <c r="A423" t="s">
        <v>709</v>
      </c>
      <c r="B423" t="s">
        <v>437</v>
      </c>
      <c r="C423" t="s">
        <v>45</v>
      </c>
      <c r="D423" t="s">
        <v>22</v>
      </c>
      <c r="E423" t="s">
        <v>27</v>
      </c>
      <c r="F423" t="s">
        <v>23</v>
      </c>
      <c r="G423">
        <v>2</v>
      </c>
      <c r="H423">
        <v>1391</v>
      </c>
      <c r="I423" t="str">
        <f>VLOOKUP(D423,Product_Master!A:D,2,FALSE)</f>
        <v>Desk</v>
      </c>
      <c r="J423" t="str">
        <f>VLOOKUP(D423,Product_Master!A:D,3,FALSE)</f>
        <v>Furniture</v>
      </c>
      <c r="K423">
        <f>VLOOKUP(D423,Product_Master!A:D,4,FALSE)</f>
        <v>300</v>
      </c>
      <c r="L423" t="str">
        <f>VLOOKUP(C423,Customer_Master!A:C,2,FALSE)</f>
        <v>TCS</v>
      </c>
      <c r="M423" t="str">
        <f>VLOOKUP(C423,Customer_Master!A:C,3,FALSE)</f>
        <v>Corporate</v>
      </c>
      <c r="N423">
        <f>Table1[[#This Row],[Quantity]]*Table1[[#This Row],[Unit_Price]]</f>
        <v>2782</v>
      </c>
      <c r="O423">
        <f>(Table1[[#This Row],[Unit_Price]]-Table1[[#This Row],[Cost_Price]])*Table1[[#This Row],[Quantity]]</f>
        <v>2182</v>
      </c>
      <c r="P423">
        <f t="shared" si="6"/>
        <v>2782</v>
      </c>
      <c r="Q423" t="str">
        <f>TEXT(Table1[[#This Row],[Order_Date]],"mmm-yyyy")</f>
        <v>Jul-2024</v>
      </c>
    </row>
    <row r="424" spans="1:17" x14ac:dyDescent="0.35">
      <c r="A424" t="s">
        <v>710</v>
      </c>
      <c r="B424" t="s">
        <v>711</v>
      </c>
      <c r="C424" t="s">
        <v>42</v>
      </c>
      <c r="D424" t="s">
        <v>26</v>
      </c>
      <c r="E424" t="s">
        <v>17</v>
      </c>
      <c r="F424" t="s">
        <v>34</v>
      </c>
      <c r="G424">
        <v>10</v>
      </c>
      <c r="H424">
        <v>1142</v>
      </c>
      <c r="I424" t="str">
        <f>VLOOKUP(D424,Product_Master!A:D,2,FALSE)</f>
        <v>Laptop</v>
      </c>
      <c r="J424" t="str">
        <f>VLOOKUP(D424,Product_Master!A:D,3,FALSE)</f>
        <v>Electronics</v>
      </c>
      <c r="K424">
        <f>VLOOKUP(D424,Product_Master!A:D,4,FALSE)</f>
        <v>900</v>
      </c>
      <c r="L424" t="str">
        <f>VLOOKUP(C424,Customer_Master!A:C,2,FALSE)</f>
        <v>Ramesh</v>
      </c>
      <c r="M424" t="str">
        <f>VLOOKUP(C424,Customer_Master!A:C,3,FALSE)</f>
        <v>Consumer</v>
      </c>
      <c r="N424">
        <f>Table1[[#This Row],[Quantity]]*Table1[[#This Row],[Unit_Price]]</f>
        <v>11420</v>
      </c>
      <c r="O424">
        <f>(Table1[[#This Row],[Unit_Price]]-Table1[[#This Row],[Cost_Price]])*Table1[[#This Row],[Quantity]]</f>
        <v>2420</v>
      </c>
      <c r="P424">
        <f t="shared" si="6"/>
        <v>11420</v>
      </c>
      <c r="Q424" t="str">
        <f>TEXT(Table1[[#This Row],[Order_Date]],"mmm-yyyy")</f>
        <v>Apr-2024</v>
      </c>
    </row>
    <row r="425" spans="1:17" x14ac:dyDescent="0.35">
      <c r="A425" t="s">
        <v>712</v>
      </c>
      <c r="B425" t="s">
        <v>713</v>
      </c>
      <c r="C425" t="s">
        <v>30</v>
      </c>
      <c r="D425" t="s">
        <v>11</v>
      </c>
      <c r="E425" t="s">
        <v>12</v>
      </c>
      <c r="F425" t="s">
        <v>18</v>
      </c>
      <c r="G425">
        <v>2</v>
      </c>
      <c r="H425">
        <v>883</v>
      </c>
      <c r="I425" t="str">
        <f>VLOOKUP(D425,Product_Master!A:D,2,FALSE)</f>
        <v>Chair</v>
      </c>
      <c r="J425" t="str">
        <f>VLOOKUP(D425,Product_Master!A:D,3,FALSE)</f>
        <v>Furniture</v>
      </c>
      <c r="K425">
        <f>VLOOKUP(D425,Product_Master!A:D,4,FALSE)</f>
        <v>150</v>
      </c>
      <c r="L425" t="str">
        <f>VLOOKUP(C425,Customer_Master!A:C,2,FALSE)</f>
        <v>Infosys</v>
      </c>
      <c r="M425" t="str">
        <f>VLOOKUP(C425,Customer_Master!A:C,3,FALSE)</f>
        <v>Corporate</v>
      </c>
      <c r="N425">
        <f>Table1[[#This Row],[Quantity]]*Table1[[#This Row],[Unit_Price]]</f>
        <v>1766</v>
      </c>
      <c r="O425">
        <f>(Table1[[#This Row],[Unit_Price]]-Table1[[#This Row],[Cost_Price]])*Table1[[#This Row],[Quantity]]</f>
        <v>1466</v>
      </c>
      <c r="P425">
        <f t="shared" si="6"/>
        <v>1766</v>
      </c>
      <c r="Q425" t="str">
        <f>TEXT(Table1[[#This Row],[Order_Date]],"mmm-yyyy")</f>
        <v>Nov-2024</v>
      </c>
    </row>
    <row r="426" spans="1:17" x14ac:dyDescent="0.35">
      <c r="A426" t="s">
        <v>714</v>
      </c>
      <c r="B426" t="s">
        <v>47</v>
      </c>
      <c r="C426" t="s">
        <v>42</v>
      </c>
      <c r="D426" t="s">
        <v>16</v>
      </c>
      <c r="E426" t="s">
        <v>12</v>
      </c>
      <c r="F426" t="s">
        <v>13</v>
      </c>
      <c r="G426">
        <v>5</v>
      </c>
      <c r="H426">
        <v>803</v>
      </c>
      <c r="I426" t="str">
        <f>VLOOKUP(D426,Product_Master!A:D,2,FALSE)</f>
        <v>Printer</v>
      </c>
      <c r="J426" t="str">
        <f>VLOOKUP(D426,Product_Master!A:D,3,FALSE)</f>
        <v>Electronics</v>
      </c>
      <c r="K426">
        <f>VLOOKUP(D426,Product_Master!A:D,4,FALSE)</f>
        <v>1100</v>
      </c>
      <c r="L426" t="str">
        <f>VLOOKUP(C426,Customer_Master!A:C,2,FALSE)</f>
        <v>Ramesh</v>
      </c>
      <c r="M426" t="str">
        <f>VLOOKUP(C426,Customer_Master!A:C,3,FALSE)</f>
        <v>Consumer</v>
      </c>
      <c r="N426">
        <f>Table1[[#This Row],[Quantity]]*Table1[[#This Row],[Unit_Price]]</f>
        <v>4015</v>
      </c>
      <c r="O426">
        <f>(Table1[[#This Row],[Unit_Price]]-Table1[[#This Row],[Cost_Price]])*Table1[[#This Row],[Quantity]]</f>
        <v>-1485</v>
      </c>
      <c r="P426">
        <f t="shared" si="6"/>
        <v>4015</v>
      </c>
      <c r="Q426" t="str">
        <f>TEXT(Table1[[#This Row],[Order_Date]],"mmm-yyyy")</f>
        <v>Dec-2024</v>
      </c>
    </row>
    <row r="427" spans="1:17" x14ac:dyDescent="0.35">
      <c r="A427" t="s">
        <v>715</v>
      </c>
      <c r="B427" t="s">
        <v>55</v>
      </c>
      <c r="C427" t="s">
        <v>45</v>
      </c>
      <c r="D427" t="s">
        <v>16</v>
      </c>
      <c r="E427" t="s">
        <v>27</v>
      </c>
      <c r="F427" t="s">
        <v>18</v>
      </c>
      <c r="G427">
        <v>3</v>
      </c>
      <c r="H427">
        <v>829</v>
      </c>
      <c r="I427" t="str">
        <f>VLOOKUP(D427,Product_Master!A:D,2,FALSE)</f>
        <v>Printer</v>
      </c>
      <c r="J427" t="str">
        <f>VLOOKUP(D427,Product_Master!A:D,3,FALSE)</f>
        <v>Electronics</v>
      </c>
      <c r="K427">
        <f>VLOOKUP(D427,Product_Master!A:D,4,FALSE)</f>
        <v>1100</v>
      </c>
      <c r="L427" t="str">
        <f>VLOOKUP(C427,Customer_Master!A:C,2,FALSE)</f>
        <v>TCS</v>
      </c>
      <c r="M427" t="str">
        <f>VLOOKUP(C427,Customer_Master!A:C,3,FALSE)</f>
        <v>Corporate</v>
      </c>
      <c r="N427">
        <f>Table1[[#This Row],[Quantity]]*Table1[[#This Row],[Unit_Price]]</f>
        <v>2487</v>
      </c>
      <c r="O427">
        <f>(Table1[[#This Row],[Unit_Price]]-Table1[[#This Row],[Cost_Price]])*Table1[[#This Row],[Quantity]]</f>
        <v>-813</v>
      </c>
      <c r="P427">
        <f t="shared" si="6"/>
        <v>2487</v>
      </c>
      <c r="Q427" t="str">
        <f>TEXT(Table1[[#This Row],[Order_Date]],"mmm-yyyy")</f>
        <v>Feb-2024</v>
      </c>
    </row>
    <row r="428" spans="1:17" x14ac:dyDescent="0.35">
      <c r="A428" t="s">
        <v>716</v>
      </c>
      <c r="B428" t="s">
        <v>717</v>
      </c>
      <c r="C428" t="s">
        <v>42</v>
      </c>
      <c r="D428" t="s">
        <v>22</v>
      </c>
      <c r="E428" t="s">
        <v>33</v>
      </c>
      <c r="F428" t="s">
        <v>23</v>
      </c>
      <c r="G428">
        <v>8</v>
      </c>
      <c r="H428">
        <v>1676</v>
      </c>
      <c r="I428" t="str">
        <f>VLOOKUP(D428,Product_Master!A:D,2,FALSE)</f>
        <v>Desk</v>
      </c>
      <c r="J428" t="str">
        <f>VLOOKUP(D428,Product_Master!A:D,3,FALSE)</f>
        <v>Furniture</v>
      </c>
      <c r="K428">
        <f>VLOOKUP(D428,Product_Master!A:D,4,FALSE)</f>
        <v>300</v>
      </c>
      <c r="L428" t="str">
        <f>VLOOKUP(C428,Customer_Master!A:C,2,FALSE)</f>
        <v>Ramesh</v>
      </c>
      <c r="M428" t="str">
        <f>VLOOKUP(C428,Customer_Master!A:C,3,FALSE)</f>
        <v>Consumer</v>
      </c>
      <c r="N428">
        <f>Table1[[#This Row],[Quantity]]*Table1[[#This Row],[Unit_Price]]</f>
        <v>13408</v>
      </c>
      <c r="O428">
        <f>(Table1[[#This Row],[Unit_Price]]-Table1[[#This Row],[Cost_Price]])*Table1[[#This Row],[Quantity]]</f>
        <v>11008</v>
      </c>
      <c r="P428">
        <f t="shared" si="6"/>
        <v>13408</v>
      </c>
      <c r="Q428" t="str">
        <f>TEXT(Table1[[#This Row],[Order_Date]],"mmm-yyyy")</f>
        <v>Sep-2024</v>
      </c>
    </row>
    <row r="429" spans="1:17" x14ac:dyDescent="0.35">
      <c r="A429" t="s">
        <v>718</v>
      </c>
      <c r="B429" t="s">
        <v>252</v>
      </c>
      <c r="C429" t="s">
        <v>10</v>
      </c>
      <c r="D429" t="s">
        <v>11</v>
      </c>
      <c r="E429" t="s">
        <v>17</v>
      </c>
      <c r="F429" t="s">
        <v>34</v>
      </c>
      <c r="G429">
        <v>3</v>
      </c>
      <c r="H429">
        <v>1083</v>
      </c>
      <c r="I429" t="str">
        <f>VLOOKUP(D429,Product_Master!A:D,2,FALSE)</f>
        <v>Chair</v>
      </c>
      <c r="J429" t="str">
        <f>VLOOKUP(D429,Product_Master!A:D,3,FALSE)</f>
        <v>Furniture</v>
      </c>
      <c r="K429">
        <f>VLOOKUP(D429,Product_Master!A:D,4,FALSE)</f>
        <v>150</v>
      </c>
      <c r="L429" t="str">
        <f>VLOOKUP(C429,Customer_Master!A:C,2,FALSE)</f>
        <v>Suresh</v>
      </c>
      <c r="M429" t="str">
        <f>VLOOKUP(C429,Customer_Master!A:C,3,FALSE)</f>
        <v>Consumer</v>
      </c>
      <c r="N429">
        <f>Table1[[#This Row],[Quantity]]*Table1[[#This Row],[Unit_Price]]</f>
        <v>3249</v>
      </c>
      <c r="O429">
        <f>(Table1[[#This Row],[Unit_Price]]-Table1[[#This Row],[Cost_Price]])*Table1[[#This Row],[Quantity]]</f>
        <v>2799</v>
      </c>
      <c r="P429">
        <f t="shared" si="6"/>
        <v>3249</v>
      </c>
      <c r="Q429" t="str">
        <f>TEXT(Table1[[#This Row],[Order_Date]],"mmm-yyyy")</f>
        <v>Sep-2024</v>
      </c>
    </row>
    <row r="430" spans="1:17" x14ac:dyDescent="0.35">
      <c r="A430" t="s">
        <v>719</v>
      </c>
      <c r="B430" t="s">
        <v>720</v>
      </c>
      <c r="C430" t="s">
        <v>45</v>
      </c>
      <c r="D430" t="s">
        <v>22</v>
      </c>
      <c r="E430" t="s">
        <v>17</v>
      </c>
      <c r="F430" t="s">
        <v>18</v>
      </c>
      <c r="G430">
        <v>6</v>
      </c>
      <c r="H430">
        <v>1391</v>
      </c>
      <c r="I430" t="str">
        <f>VLOOKUP(D430,Product_Master!A:D,2,FALSE)</f>
        <v>Desk</v>
      </c>
      <c r="J430" t="str">
        <f>VLOOKUP(D430,Product_Master!A:D,3,FALSE)</f>
        <v>Furniture</v>
      </c>
      <c r="K430">
        <f>VLOOKUP(D430,Product_Master!A:D,4,FALSE)</f>
        <v>300</v>
      </c>
      <c r="L430" t="str">
        <f>VLOOKUP(C430,Customer_Master!A:C,2,FALSE)</f>
        <v>TCS</v>
      </c>
      <c r="M430" t="str">
        <f>VLOOKUP(C430,Customer_Master!A:C,3,FALSE)</f>
        <v>Corporate</v>
      </c>
      <c r="N430">
        <f>Table1[[#This Row],[Quantity]]*Table1[[#This Row],[Unit_Price]]</f>
        <v>8346</v>
      </c>
      <c r="O430">
        <f>(Table1[[#This Row],[Unit_Price]]-Table1[[#This Row],[Cost_Price]])*Table1[[#This Row],[Quantity]]</f>
        <v>6546</v>
      </c>
      <c r="P430">
        <f t="shared" si="6"/>
        <v>8346</v>
      </c>
      <c r="Q430" t="str">
        <f>TEXT(Table1[[#This Row],[Order_Date]],"mmm-yyyy")</f>
        <v>Jun-2024</v>
      </c>
    </row>
    <row r="431" spans="1:17" x14ac:dyDescent="0.35">
      <c r="A431" t="s">
        <v>721</v>
      </c>
      <c r="B431" t="s">
        <v>135</v>
      </c>
      <c r="C431" t="s">
        <v>10</v>
      </c>
      <c r="D431" t="s">
        <v>11</v>
      </c>
      <c r="E431" t="s">
        <v>27</v>
      </c>
      <c r="F431" t="s">
        <v>18</v>
      </c>
      <c r="G431">
        <v>1</v>
      </c>
      <c r="H431">
        <v>1225</v>
      </c>
      <c r="I431" t="str">
        <f>VLOOKUP(D431,Product_Master!A:D,2,FALSE)</f>
        <v>Chair</v>
      </c>
      <c r="J431" t="str">
        <f>VLOOKUP(D431,Product_Master!A:D,3,FALSE)</f>
        <v>Furniture</v>
      </c>
      <c r="K431">
        <f>VLOOKUP(D431,Product_Master!A:D,4,FALSE)</f>
        <v>150</v>
      </c>
      <c r="L431" t="str">
        <f>VLOOKUP(C431,Customer_Master!A:C,2,FALSE)</f>
        <v>Suresh</v>
      </c>
      <c r="M431" t="str">
        <f>VLOOKUP(C431,Customer_Master!A:C,3,FALSE)</f>
        <v>Consumer</v>
      </c>
      <c r="N431">
        <f>Table1[[#This Row],[Quantity]]*Table1[[#This Row],[Unit_Price]]</f>
        <v>1225</v>
      </c>
      <c r="O431">
        <f>(Table1[[#This Row],[Unit_Price]]-Table1[[#This Row],[Cost_Price]])*Table1[[#This Row],[Quantity]]</f>
        <v>1075</v>
      </c>
      <c r="P431">
        <f t="shared" si="6"/>
        <v>1225</v>
      </c>
      <c r="Q431" t="str">
        <f>TEXT(Table1[[#This Row],[Order_Date]],"mmm-yyyy")</f>
        <v>Jul-2024</v>
      </c>
    </row>
    <row r="432" spans="1:17" x14ac:dyDescent="0.35">
      <c r="A432" t="s">
        <v>722</v>
      </c>
      <c r="B432" t="s">
        <v>587</v>
      </c>
      <c r="C432" t="s">
        <v>10</v>
      </c>
      <c r="D432" t="s">
        <v>11</v>
      </c>
      <c r="E432" t="s">
        <v>33</v>
      </c>
      <c r="F432" t="s">
        <v>23</v>
      </c>
      <c r="G432">
        <v>3</v>
      </c>
      <c r="H432">
        <v>1641</v>
      </c>
      <c r="I432" t="str">
        <f>VLOOKUP(D432,Product_Master!A:D,2,FALSE)</f>
        <v>Chair</v>
      </c>
      <c r="J432" t="str">
        <f>VLOOKUP(D432,Product_Master!A:D,3,FALSE)</f>
        <v>Furniture</v>
      </c>
      <c r="K432">
        <f>VLOOKUP(D432,Product_Master!A:D,4,FALSE)</f>
        <v>150</v>
      </c>
      <c r="L432" t="str">
        <f>VLOOKUP(C432,Customer_Master!A:C,2,FALSE)</f>
        <v>Suresh</v>
      </c>
      <c r="M432" t="str">
        <f>VLOOKUP(C432,Customer_Master!A:C,3,FALSE)</f>
        <v>Consumer</v>
      </c>
      <c r="N432">
        <f>Table1[[#This Row],[Quantity]]*Table1[[#This Row],[Unit_Price]]</f>
        <v>4923</v>
      </c>
      <c r="O432">
        <f>(Table1[[#This Row],[Unit_Price]]-Table1[[#This Row],[Cost_Price]])*Table1[[#This Row],[Quantity]]</f>
        <v>4473</v>
      </c>
      <c r="P432">
        <f t="shared" si="6"/>
        <v>4923</v>
      </c>
      <c r="Q432" t="str">
        <f>TEXT(Table1[[#This Row],[Order_Date]],"mmm-yyyy")</f>
        <v>Aug-2024</v>
      </c>
    </row>
    <row r="433" spans="1:17" x14ac:dyDescent="0.35">
      <c r="A433" t="s">
        <v>723</v>
      </c>
      <c r="B433" t="s">
        <v>724</v>
      </c>
      <c r="C433" t="s">
        <v>30</v>
      </c>
      <c r="D433" t="s">
        <v>16</v>
      </c>
      <c r="E433" t="s">
        <v>27</v>
      </c>
      <c r="F433" t="s">
        <v>13</v>
      </c>
      <c r="G433">
        <v>10</v>
      </c>
      <c r="H433">
        <v>1844</v>
      </c>
      <c r="I433" t="str">
        <f>VLOOKUP(D433,Product_Master!A:D,2,FALSE)</f>
        <v>Printer</v>
      </c>
      <c r="J433" t="str">
        <f>VLOOKUP(D433,Product_Master!A:D,3,FALSE)</f>
        <v>Electronics</v>
      </c>
      <c r="K433">
        <f>VLOOKUP(D433,Product_Master!A:D,4,FALSE)</f>
        <v>1100</v>
      </c>
      <c r="L433" t="str">
        <f>VLOOKUP(C433,Customer_Master!A:C,2,FALSE)</f>
        <v>Infosys</v>
      </c>
      <c r="M433" t="str">
        <f>VLOOKUP(C433,Customer_Master!A:C,3,FALSE)</f>
        <v>Corporate</v>
      </c>
      <c r="N433">
        <f>Table1[[#This Row],[Quantity]]*Table1[[#This Row],[Unit_Price]]</f>
        <v>18440</v>
      </c>
      <c r="O433">
        <f>(Table1[[#This Row],[Unit_Price]]-Table1[[#This Row],[Cost_Price]])*Table1[[#This Row],[Quantity]]</f>
        <v>7440</v>
      </c>
      <c r="P433">
        <f t="shared" si="6"/>
        <v>18440</v>
      </c>
      <c r="Q433" t="str">
        <f>TEXT(Table1[[#This Row],[Order_Date]],"mmm-yyyy")</f>
        <v>Dec-2024</v>
      </c>
    </row>
    <row r="434" spans="1:17" x14ac:dyDescent="0.35">
      <c r="A434" t="s">
        <v>725</v>
      </c>
      <c r="B434" t="s">
        <v>726</v>
      </c>
      <c r="C434" t="s">
        <v>45</v>
      </c>
      <c r="D434" t="s">
        <v>11</v>
      </c>
      <c r="E434" t="s">
        <v>17</v>
      </c>
      <c r="F434" t="s">
        <v>18</v>
      </c>
      <c r="G434">
        <v>2</v>
      </c>
      <c r="H434">
        <v>1904</v>
      </c>
      <c r="I434" t="str">
        <f>VLOOKUP(D434,Product_Master!A:D,2,FALSE)</f>
        <v>Chair</v>
      </c>
      <c r="J434" t="str">
        <f>VLOOKUP(D434,Product_Master!A:D,3,FALSE)</f>
        <v>Furniture</v>
      </c>
      <c r="K434">
        <f>VLOOKUP(D434,Product_Master!A:D,4,FALSE)</f>
        <v>150</v>
      </c>
      <c r="L434" t="str">
        <f>VLOOKUP(C434,Customer_Master!A:C,2,FALSE)</f>
        <v>TCS</v>
      </c>
      <c r="M434" t="str">
        <f>VLOOKUP(C434,Customer_Master!A:C,3,FALSE)</f>
        <v>Corporate</v>
      </c>
      <c r="N434">
        <f>Table1[[#This Row],[Quantity]]*Table1[[#This Row],[Unit_Price]]</f>
        <v>3808</v>
      </c>
      <c r="O434">
        <f>(Table1[[#This Row],[Unit_Price]]-Table1[[#This Row],[Cost_Price]])*Table1[[#This Row],[Quantity]]</f>
        <v>3508</v>
      </c>
      <c r="P434">
        <f t="shared" si="6"/>
        <v>3808</v>
      </c>
      <c r="Q434" t="str">
        <f>TEXT(Table1[[#This Row],[Order_Date]],"mmm-yyyy")</f>
        <v>Oct-2024</v>
      </c>
    </row>
    <row r="435" spans="1:17" x14ac:dyDescent="0.35">
      <c r="A435" t="s">
        <v>727</v>
      </c>
      <c r="B435" t="s">
        <v>720</v>
      </c>
      <c r="C435" t="s">
        <v>10</v>
      </c>
      <c r="D435" t="s">
        <v>11</v>
      </c>
      <c r="E435" t="s">
        <v>33</v>
      </c>
      <c r="F435" t="s">
        <v>18</v>
      </c>
      <c r="G435">
        <v>2</v>
      </c>
      <c r="H435">
        <v>826</v>
      </c>
      <c r="I435" t="str">
        <f>VLOOKUP(D435,Product_Master!A:D,2,FALSE)</f>
        <v>Chair</v>
      </c>
      <c r="J435" t="str">
        <f>VLOOKUP(D435,Product_Master!A:D,3,FALSE)</f>
        <v>Furniture</v>
      </c>
      <c r="K435">
        <f>VLOOKUP(D435,Product_Master!A:D,4,FALSE)</f>
        <v>150</v>
      </c>
      <c r="L435" t="str">
        <f>VLOOKUP(C435,Customer_Master!A:C,2,FALSE)</f>
        <v>Suresh</v>
      </c>
      <c r="M435" t="str">
        <f>VLOOKUP(C435,Customer_Master!A:C,3,FALSE)</f>
        <v>Consumer</v>
      </c>
      <c r="N435">
        <f>Table1[[#This Row],[Quantity]]*Table1[[#This Row],[Unit_Price]]</f>
        <v>1652</v>
      </c>
      <c r="O435">
        <f>(Table1[[#This Row],[Unit_Price]]-Table1[[#This Row],[Cost_Price]])*Table1[[#This Row],[Quantity]]</f>
        <v>1352</v>
      </c>
      <c r="P435">
        <f t="shared" si="6"/>
        <v>1652</v>
      </c>
      <c r="Q435" t="str">
        <f>TEXT(Table1[[#This Row],[Order_Date]],"mmm-yyyy")</f>
        <v>Jun-2024</v>
      </c>
    </row>
    <row r="436" spans="1:17" x14ac:dyDescent="0.35">
      <c r="A436" t="s">
        <v>728</v>
      </c>
      <c r="B436" t="s">
        <v>409</v>
      </c>
      <c r="C436" t="s">
        <v>30</v>
      </c>
      <c r="D436" t="s">
        <v>11</v>
      </c>
      <c r="E436" t="s">
        <v>33</v>
      </c>
      <c r="F436" t="s">
        <v>18</v>
      </c>
      <c r="G436">
        <v>1</v>
      </c>
      <c r="H436">
        <v>1969</v>
      </c>
      <c r="I436" t="str">
        <f>VLOOKUP(D436,Product_Master!A:D,2,FALSE)</f>
        <v>Chair</v>
      </c>
      <c r="J436" t="str">
        <f>VLOOKUP(D436,Product_Master!A:D,3,FALSE)</f>
        <v>Furniture</v>
      </c>
      <c r="K436">
        <f>VLOOKUP(D436,Product_Master!A:D,4,FALSE)</f>
        <v>150</v>
      </c>
      <c r="L436" t="str">
        <f>VLOOKUP(C436,Customer_Master!A:C,2,FALSE)</f>
        <v>Infosys</v>
      </c>
      <c r="M436" t="str">
        <f>VLOOKUP(C436,Customer_Master!A:C,3,FALSE)</f>
        <v>Corporate</v>
      </c>
      <c r="N436">
        <f>Table1[[#This Row],[Quantity]]*Table1[[#This Row],[Unit_Price]]</f>
        <v>1969</v>
      </c>
      <c r="O436">
        <f>(Table1[[#This Row],[Unit_Price]]-Table1[[#This Row],[Cost_Price]])*Table1[[#This Row],[Quantity]]</f>
        <v>1819</v>
      </c>
      <c r="P436">
        <f t="shared" si="6"/>
        <v>1969</v>
      </c>
      <c r="Q436" t="str">
        <f>TEXT(Table1[[#This Row],[Order_Date]],"mmm-yyyy")</f>
        <v>Jan-2024</v>
      </c>
    </row>
    <row r="437" spans="1:17" x14ac:dyDescent="0.35">
      <c r="A437" t="s">
        <v>729</v>
      </c>
      <c r="B437" t="s">
        <v>622</v>
      </c>
      <c r="C437" t="s">
        <v>45</v>
      </c>
      <c r="D437" t="s">
        <v>22</v>
      </c>
      <c r="E437" t="s">
        <v>27</v>
      </c>
      <c r="F437" t="s">
        <v>18</v>
      </c>
      <c r="G437">
        <v>5</v>
      </c>
      <c r="H437">
        <v>1849</v>
      </c>
      <c r="I437" t="str">
        <f>VLOOKUP(D437,Product_Master!A:D,2,FALSE)</f>
        <v>Desk</v>
      </c>
      <c r="J437" t="str">
        <f>VLOOKUP(D437,Product_Master!A:D,3,FALSE)</f>
        <v>Furniture</v>
      </c>
      <c r="K437">
        <f>VLOOKUP(D437,Product_Master!A:D,4,FALSE)</f>
        <v>300</v>
      </c>
      <c r="L437" t="str">
        <f>VLOOKUP(C437,Customer_Master!A:C,2,FALSE)</f>
        <v>TCS</v>
      </c>
      <c r="M437" t="str">
        <f>VLOOKUP(C437,Customer_Master!A:C,3,FALSE)</f>
        <v>Corporate</v>
      </c>
      <c r="N437">
        <f>Table1[[#This Row],[Quantity]]*Table1[[#This Row],[Unit_Price]]</f>
        <v>9245</v>
      </c>
      <c r="O437">
        <f>(Table1[[#This Row],[Unit_Price]]-Table1[[#This Row],[Cost_Price]])*Table1[[#This Row],[Quantity]]</f>
        <v>7745</v>
      </c>
      <c r="P437">
        <f t="shared" si="6"/>
        <v>9245</v>
      </c>
      <c r="Q437" t="str">
        <f>TEXT(Table1[[#This Row],[Order_Date]],"mmm-yyyy")</f>
        <v>May-2024</v>
      </c>
    </row>
    <row r="438" spans="1:17" x14ac:dyDescent="0.35">
      <c r="A438" t="s">
        <v>730</v>
      </c>
      <c r="B438" t="s">
        <v>569</v>
      </c>
      <c r="C438" t="s">
        <v>30</v>
      </c>
      <c r="D438" t="s">
        <v>16</v>
      </c>
      <c r="E438" t="s">
        <v>27</v>
      </c>
      <c r="F438" t="s">
        <v>34</v>
      </c>
      <c r="G438">
        <v>9</v>
      </c>
      <c r="H438">
        <v>841</v>
      </c>
      <c r="I438" t="str">
        <f>VLOOKUP(D438,Product_Master!A:D,2,FALSE)</f>
        <v>Printer</v>
      </c>
      <c r="J438" t="str">
        <f>VLOOKUP(D438,Product_Master!A:D,3,FALSE)</f>
        <v>Electronics</v>
      </c>
      <c r="K438">
        <f>VLOOKUP(D438,Product_Master!A:D,4,FALSE)</f>
        <v>1100</v>
      </c>
      <c r="L438" t="str">
        <f>VLOOKUP(C438,Customer_Master!A:C,2,FALSE)</f>
        <v>Infosys</v>
      </c>
      <c r="M438" t="str">
        <f>VLOOKUP(C438,Customer_Master!A:C,3,FALSE)</f>
        <v>Corporate</v>
      </c>
      <c r="N438">
        <f>Table1[[#This Row],[Quantity]]*Table1[[#This Row],[Unit_Price]]</f>
        <v>7569</v>
      </c>
      <c r="O438">
        <f>(Table1[[#This Row],[Unit_Price]]-Table1[[#This Row],[Cost_Price]])*Table1[[#This Row],[Quantity]]</f>
        <v>-2331</v>
      </c>
      <c r="P438">
        <f t="shared" si="6"/>
        <v>7569</v>
      </c>
      <c r="Q438" t="str">
        <f>TEXT(Table1[[#This Row],[Order_Date]],"mmm-yyyy")</f>
        <v>Aug-2024</v>
      </c>
    </row>
    <row r="439" spans="1:17" x14ac:dyDescent="0.35">
      <c r="A439" t="s">
        <v>731</v>
      </c>
      <c r="B439" t="s">
        <v>732</v>
      </c>
      <c r="C439" t="s">
        <v>21</v>
      </c>
      <c r="D439" t="s">
        <v>11</v>
      </c>
      <c r="E439" t="s">
        <v>17</v>
      </c>
      <c r="F439" t="s">
        <v>18</v>
      </c>
      <c r="G439">
        <v>7</v>
      </c>
      <c r="H439">
        <v>1317</v>
      </c>
      <c r="I439" t="str">
        <f>VLOOKUP(D439,Product_Master!A:D,2,FALSE)</f>
        <v>Chair</v>
      </c>
      <c r="J439" t="str">
        <f>VLOOKUP(D439,Product_Master!A:D,3,FALSE)</f>
        <v>Furniture</v>
      </c>
      <c r="K439">
        <f>VLOOKUP(D439,Product_Master!A:D,4,FALSE)</f>
        <v>150</v>
      </c>
      <c r="L439" t="str">
        <f>VLOOKUP(C439,Customer_Master!A:C,2,FALSE)</f>
        <v>Reliance</v>
      </c>
      <c r="M439" t="str">
        <f>VLOOKUP(C439,Customer_Master!A:C,3,FALSE)</f>
        <v>Corporate</v>
      </c>
      <c r="N439">
        <f>Table1[[#This Row],[Quantity]]*Table1[[#This Row],[Unit_Price]]</f>
        <v>9219</v>
      </c>
      <c r="O439">
        <f>(Table1[[#This Row],[Unit_Price]]-Table1[[#This Row],[Cost_Price]])*Table1[[#This Row],[Quantity]]</f>
        <v>8169</v>
      </c>
      <c r="P439">
        <f t="shared" si="6"/>
        <v>9219</v>
      </c>
      <c r="Q439" t="str">
        <f>TEXT(Table1[[#This Row],[Order_Date]],"mmm-yyyy")</f>
        <v>Aug-2024</v>
      </c>
    </row>
    <row r="440" spans="1:17" x14ac:dyDescent="0.35">
      <c r="A440" t="s">
        <v>733</v>
      </c>
      <c r="B440" t="s">
        <v>734</v>
      </c>
      <c r="C440" t="s">
        <v>10</v>
      </c>
      <c r="D440" t="s">
        <v>16</v>
      </c>
      <c r="E440" t="s">
        <v>27</v>
      </c>
      <c r="F440" t="s">
        <v>34</v>
      </c>
      <c r="G440">
        <v>1</v>
      </c>
      <c r="H440">
        <v>1776</v>
      </c>
      <c r="I440" t="str">
        <f>VLOOKUP(D440,Product_Master!A:D,2,FALSE)</f>
        <v>Printer</v>
      </c>
      <c r="J440" t="str">
        <f>VLOOKUP(D440,Product_Master!A:D,3,FALSE)</f>
        <v>Electronics</v>
      </c>
      <c r="K440">
        <f>VLOOKUP(D440,Product_Master!A:D,4,FALSE)</f>
        <v>1100</v>
      </c>
      <c r="L440" t="str">
        <f>VLOOKUP(C440,Customer_Master!A:C,2,FALSE)</f>
        <v>Suresh</v>
      </c>
      <c r="M440" t="str">
        <f>VLOOKUP(C440,Customer_Master!A:C,3,FALSE)</f>
        <v>Consumer</v>
      </c>
      <c r="N440">
        <f>Table1[[#This Row],[Quantity]]*Table1[[#This Row],[Unit_Price]]</f>
        <v>1776</v>
      </c>
      <c r="O440">
        <f>(Table1[[#This Row],[Unit_Price]]-Table1[[#This Row],[Cost_Price]])*Table1[[#This Row],[Quantity]]</f>
        <v>676</v>
      </c>
      <c r="P440">
        <f t="shared" si="6"/>
        <v>1776</v>
      </c>
      <c r="Q440" t="str">
        <f>TEXT(Table1[[#This Row],[Order_Date]],"mmm-yyyy")</f>
        <v>Oct-2024</v>
      </c>
    </row>
    <row r="441" spans="1:17" x14ac:dyDescent="0.35">
      <c r="A441" t="s">
        <v>735</v>
      </c>
      <c r="B441" t="s">
        <v>90</v>
      </c>
      <c r="C441" t="s">
        <v>42</v>
      </c>
      <c r="D441" t="s">
        <v>26</v>
      </c>
      <c r="E441" t="s">
        <v>33</v>
      </c>
      <c r="F441" t="s">
        <v>23</v>
      </c>
      <c r="G441">
        <v>8</v>
      </c>
      <c r="H441">
        <v>921</v>
      </c>
      <c r="I441" t="str">
        <f>VLOOKUP(D441,Product_Master!A:D,2,FALSE)</f>
        <v>Laptop</v>
      </c>
      <c r="J441" t="str">
        <f>VLOOKUP(D441,Product_Master!A:D,3,FALSE)</f>
        <v>Electronics</v>
      </c>
      <c r="K441">
        <f>VLOOKUP(D441,Product_Master!A:D,4,FALSE)</f>
        <v>900</v>
      </c>
      <c r="L441" t="str">
        <f>VLOOKUP(C441,Customer_Master!A:C,2,FALSE)</f>
        <v>Ramesh</v>
      </c>
      <c r="M441" t="str">
        <f>VLOOKUP(C441,Customer_Master!A:C,3,FALSE)</f>
        <v>Consumer</v>
      </c>
      <c r="N441">
        <f>Table1[[#This Row],[Quantity]]*Table1[[#This Row],[Unit_Price]]</f>
        <v>7368</v>
      </c>
      <c r="O441">
        <f>(Table1[[#This Row],[Unit_Price]]-Table1[[#This Row],[Cost_Price]])*Table1[[#This Row],[Quantity]]</f>
        <v>168</v>
      </c>
      <c r="P441">
        <f t="shared" si="6"/>
        <v>7368</v>
      </c>
      <c r="Q441" t="str">
        <f>TEXT(Table1[[#This Row],[Order_Date]],"mmm-yyyy")</f>
        <v>Dec-2024</v>
      </c>
    </row>
    <row r="442" spans="1:17" x14ac:dyDescent="0.35">
      <c r="A442" t="s">
        <v>736</v>
      </c>
      <c r="B442" t="s">
        <v>693</v>
      </c>
      <c r="C442" t="s">
        <v>30</v>
      </c>
      <c r="D442" t="s">
        <v>22</v>
      </c>
      <c r="E442" t="s">
        <v>17</v>
      </c>
      <c r="F442" t="s">
        <v>34</v>
      </c>
      <c r="G442">
        <v>5</v>
      </c>
      <c r="H442">
        <v>1203</v>
      </c>
      <c r="I442" t="str">
        <f>VLOOKUP(D442,Product_Master!A:D,2,FALSE)</f>
        <v>Desk</v>
      </c>
      <c r="J442" t="str">
        <f>VLOOKUP(D442,Product_Master!A:D,3,FALSE)</f>
        <v>Furniture</v>
      </c>
      <c r="K442">
        <f>VLOOKUP(D442,Product_Master!A:D,4,FALSE)</f>
        <v>300</v>
      </c>
      <c r="L442" t="str">
        <f>VLOOKUP(C442,Customer_Master!A:C,2,FALSE)</f>
        <v>Infosys</v>
      </c>
      <c r="M442" t="str">
        <f>VLOOKUP(C442,Customer_Master!A:C,3,FALSE)</f>
        <v>Corporate</v>
      </c>
      <c r="N442">
        <f>Table1[[#This Row],[Quantity]]*Table1[[#This Row],[Unit_Price]]</f>
        <v>6015</v>
      </c>
      <c r="O442">
        <f>(Table1[[#This Row],[Unit_Price]]-Table1[[#This Row],[Cost_Price]])*Table1[[#This Row],[Quantity]]</f>
        <v>4515</v>
      </c>
      <c r="P442">
        <f t="shared" si="6"/>
        <v>6015</v>
      </c>
      <c r="Q442" t="str">
        <f>TEXT(Table1[[#This Row],[Order_Date]],"mmm-yyyy")</f>
        <v>May-2024</v>
      </c>
    </row>
    <row r="443" spans="1:17" x14ac:dyDescent="0.35">
      <c r="A443" t="s">
        <v>737</v>
      </c>
      <c r="B443" t="s">
        <v>301</v>
      </c>
      <c r="C443" t="s">
        <v>10</v>
      </c>
      <c r="D443" t="s">
        <v>22</v>
      </c>
      <c r="E443" t="s">
        <v>12</v>
      </c>
      <c r="F443" t="s">
        <v>18</v>
      </c>
      <c r="G443">
        <v>2</v>
      </c>
      <c r="H443">
        <v>961</v>
      </c>
      <c r="I443" t="str">
        <f>VLOOKUP(D443,Product_Master!A:D,2,FALSE)</f>
        <v>Desk</v>
      </c>
      <c r="J443" t="str">
        <f>VLOOKUP(D443,Product_Master!A:D,3,FALSE)</f>
        <v>Furniture</v>
      </c>
      <c r="K443">
        <f>VLOOKUP(D443,Product_Master!A:D,4,FALSE)</f>
        <v>300</v>
      </c>
      <c r="L443" t="str">
        <f>VLOOKUP(C443,Customer_Master!A:C,2,FALSE)</f>
        <v>Suresh</v>
      </c>
      <c r="M443" t="str">
        <f>VLOOKUP(C443,Customer_Master!A:C,3,FALSE)</f>
        <v>Consumer</v>
      </c>
      <c r="N443">
        <f>Table1[[#This Row],[Quantity]]*Table1[[#This Row],[Unit_Price]]</f>
        <v>1922</v>
      </c>
      <c r="O443">
        <f>(Table1[[#This Row],[Unit_Price]]-Table1[[#This Row],[Cost_Price]])*Table1[[#This Row],[Quantity]]</f>
        <v>1322</v>
      </c>
      <c r="P443">
        <f t="shared" si="6"/>
        <v>1922</v>
      </c>
      <c r="Q443" t="str">
        <f>TEXT(Table1[[#This Row],[Order_Date]],"mmm-yyyy")</f>
        <v>Mar-2024</v>
      </c>
    </row>
    <row r="444" spans="1:17" x14ac:dyDescent="0.35">
      <c r="A444" t="s">
        <v>738</v>
      </c>
      <c r="B444" t="s">
        <v>237</v>
      </c>
      <c r="C444" t="s">
        <v>42</v>
      </c>
      <c r="D444" t="s">
        <v>11</v>
      </c>
      <c r="E444" t="s">
        <v>27</v>
      </c>
      <c r="F444" t="s">
        <v>34</v>
      </c>
      <c r="G444">
        <v>7</v>
      </c>
      <c r="H444">
        <v>1891</v>
      </c>
      <c r="I444" t="str">
        <f>VLOOKUP(D444,Product_Master!A:D,2,FALSE)</f>
        <v>Chair</v>
      </c>
      <c r="J444" t="str">
        <f>VLOOKUP(D444,Product_Master!A:D,3,FALSE)</f>
        <v>Furniture</v>
      </c>
      <c r="K444">
        <f>VLOOKUP(D444,Product_Master!A:D,4,FALSE)</f>
        <v>150</v>
      </c>
      <c r="L444" t="str">
        <f>VLOOKUP(C444,Customer_Master!A:C,2,FALSE)</f>
        <v>Ramesh</v>
      </c>
      <c r="M444" t="str">
        <f>VLOOKUP(C444,Customer_Master!A:C,3,FALSE)</f>
        <v>Consumer</v>
      </c>
      <c r="N444">
        <f>Table1[[#This Row],[Quantity]]*Table1[[#This Row],[Unit_Price]]</f>
        <v>13237</v>
      </c>
      <c r="O444">
        <f>(Table1[[#This Row],[Unit_Price]]-Table1[[#This Row],[Cost_Price]])*Table1[[#This Row],[Quantity]]</f>
        <v>12187</v>
      </c>
      <c r="P444">
        <f t="shared" si="6"/>
        <v>13237</v>
      </c>
      <c r="Q444" t="str">
        <f>TEXT(Table1[[#This Row],[Order_Date]],"mmm-yyyy")</f>
        <v>Nov-2024</v>
      </c>
    </row>
    <row r="445" spans="1:17" x14ac:dyDescent="0.35">
      <c r="A445" t="s">
        <v>739</v>
      </c>
      <c r="B445" t="s">
        <v>165</v>
      </c>
      <c r="C445" t="s">
        <v>21</v>
      </c>
      <c r="D445" t="s">
        <v>26</v>
      </c>
      <c r="E445" t="s">
        <v>12</v>
      </c>
      <c r="F445" t="s">
        <v>13</v>
      </c>
      <c r="G445">
        <v>7</v>
      </c>
      <c r="H445">
        <v>1776</v>
      </c>
      <c r="I445" t="str">
        <f>VLOOKUP(D445,Product_Master!A:D,2,FALSE)</f>
        <v>Laptop</v>
      </c>
      <c r="J445" t="str">
        <f>VLOOKUP(D445,Product_Master!A:D,3,FALSE)</f>
        <v>Electronics</v>
      </c>
      <c r="K445">
        <f>VLOOKUP(D445,Product_Master!A:D,4,FALSE)</f>
        <v>900</v>
      </c>
      <c r="L445" t="str">
        <f>VLOOKUP(C445,Customer_Master!A:C,2,FALSE)</f>
        <v>Reliance</v>
      </c>
      <c r="M445" t="str">
        <f>VLOOKUP(C445,Customer_Master!A:C,3,FALSE)</f>
        <v>Corporate</v>
      </c>
      <c r="N445">
        <f>Table1[[#This Row],[Quantity]]*Table1[[#This Row],[Unit_Price]]</f>
        <v>12432</v>
      </c>
      <c r="O445">
        <f>(Table1[[#This Row],[Unit_Price]]-Table1[[#This Row],[Cost_Price]])*Table1[[#This Row],[Quantity]]</f>
        <v>6132</v>
      </c>
      <c r="P445">
        <f t="shared" si="6"/>
        <v>12432</v>
      </c>
      <c r="Q445" t="str">
        <f>TEXT(Table1[[#This Row],[Order_Date]],"mmm-yyyy")</f>
        <v>Feb-2024</v>
      </c>
    </row>
    <row r="446" spans="1:17" x14ac:dyDescent="0.35">
      <c r="A446" t="s">
        <v>740</v>
      </c>
      <c r="B446" t="s">
        <v>726</v>
      </c>
      <c r="C446" t="s">
        <v>21</v>
      </c>
      <c r="D446" t="s">
        <v>37</v>
      </c>
      <c r="E446" t="s">
        <v>17</v>
      </c>
      <c r="F446" t="s">
        <v>23</v>
      </c>
      <c r="G446">
        <v>10</v>
      </c>
      <c r="H446">
        <v>1956</v>
      </c>
      <c r="I446" t="str">
        <f>VLOOKUP(D446,Product_Master!A:D,2,FALSE)</f>
        <v>Mobile</v>
      </c>
      <c r="J446" t="str">
        <f>VLOOKUP(D446,Product_Master!A:D,3,FALSE)</f>
        <v>Electronics</v>
      </c>
      <c r="K446">
        <f>VLOOKUP(D446,Product_Master!A:D,4,FALSE)</f>
        <v>600</v>
      </c>
      <c r="L446" t="str">
        <f>VLOOKUP(C446,Customer_Master!A:C,2,FALSE)</f>
        <v>Reliance</v>
      </c>
      <c r="M446" t="str">
        <f>VLOOKUP(C446,Customer_Master!A:C,3,FALSE)</f>
        <v>Corporate</v>
      </c>
      <c r="N446">
        <f>Table1[[#This Row],[Quantity]]*Table1[[#This Row],[Unit_Price]]</f>
        <v>19560</v>
      </c>
      <c r="O446">
        <f>(Table1[[#This Row],[Unit_Price]]-Table1[[#This Row],[Cost_Price]])*Table1[[#This Row],[Quantity]]</f>
        <v>13560</v>
      </c>
      <c r="P446">
        <f t="shared" si="6"/>
        <v>19560</v>
      </c>
      <c r="Q446" t="str">
        <f>TEXT(Table1[[#This Row],[Order_Date]],"mmm-yyyy")</f>
        <v>Oct-2024</v>
      </c>
    </row>
    <row r="447" spans="1:17" x14ac:dyDescent="0.35">
      <c r="A447" t="s">
        <v>741</v>
      </c>
      <c r="B447" t="s">
        <v>211</v>
      </c>
      <c r="C447" t="s">
        <v>30</v>
      </c>
      <c r="D447" t="s">
        <v>26</v>
      </c>
      <c r="E447" t="s">
        <v>17</v>
      </c>
      <c r="F447" t="s">
        <v>23</v>
      </c>
      <c r="G447">
        <v>8</v>
      </c>
      <c r="H447">
        <v>1008</v>
      </c>
      <c r="I447" t="str">
        <f>VLOOKUP(D447,Product_Master!A:D,2,FALSE)</f>
        <v>Laptop</v>
      </c>
      <c r="J447" t="str">
        <f>VLOOKUP(D447,Product_Master!A:D,3,FALSE)</f>
        <v>Electronics</v>
      </c>
      <c r="K447">
        <f>VLOOKUP(D447,Product_Master!A:D,4,FALSE)</f>
        <v>900</v>
      </c>
      <c r="L447" t="str">
        <f>VLOOKUP(C447,Customer_Master!A:C,2,FALSE)</f>
        <v>Infosys</v>
      </c>
      <c r="M447" t="str">
        <f>VLOOKUP(C447,Customer_Master!A:C,3,FALSE)</f>
        <v>Corporate</v>
      </c>
      <c r="N447">
        <f>Table1[[#This Row],[Quantity]]*Table1[[#This Row],[Unit_Price]]</f>
        <v>8064</v>
      </c>
      <c r="O447">
        <f>(Table1[[#This Row],[Unit_Price]]-Table1[[#This Row],[Cost_Price]])*Table1[[#This Row],[Quantity]]</f>
        <v>864</v>
      </c>
      <c r="P447">
        <f t="shared" si="6"/>
        <v>8064</v>
      </c>
      <c r="Q447" t="str">
        <f>TEXT(Table1[[#This Row],[Order_Date]],"mmm-yyyy")</f>
        <v>Feb-2024</v>
      </c>
    </row>
    <row r="448" spans="1:17" x14ac:dyDescent="0.35">
      <c r="A448" t="s">
        <v>742</v>
      </c>
      <c r="B448" t="s">
        <v>425</v>
      </c>
      <c r="C448" t="s">
        <v>21</v>
      </c>
      <c r="D448" t="s">
        <v>22</v>
      </c>
      <c r="E448" t="s">
        <v>27</v>
      </c>
      <c r="F448" t="s">
        <v>23</v>
      </c>
      <c r="G448">
        <v>7</v>
      </c>
      <c r="H448">
        <v>1325</v>
      </c>
      <c r="I448" t="str">
        <f>VLOOKUP(D448,Product_Master!A:D,2,FALSE)</f>
        <v>Desk</v>
      </c>
      <c r="J448" t="str">
        <f>VLOOKUP(D448,Product_Master!A:D,3,FALSE)</f>
        <v>Furniture</v>
      </c>
      <c r="K448">
        <f>VLOOKUP(D448,Product_Master!A:D,4,FALSE)</f>
        <v>300</v>
      </c>
      <c r="L448" t="str">
        <f>VLOOKUP(C448,Customer_Master!A:C,2,FALSE)</f>
        <v>Reliance</v>
      </c>
      <c r="M448" t="str">
        <f>VLOOKUP(C448,Customer_Master!A:C,3,FALSE)</f>
        <v>Corporate</v>
      </c>
      <c r="N448">
        <f>Table1[[#This Row],[Quantity]]*Table1[[#This Row],[Unit_Price]]</f>
        <v>9275</v>
      </c>
      <c r="O448">
        <f>(Table1[[#This Row],[Unit_Price]]-Table1[[#This Row],[Cost_Price]])*Table1[[#This Row],[Quantity]]</f>
        <v>7175</v>
      </c>
      <c r="P448">
        <f t="shared" si="6"/>
        <v>9275</v>
      </c>
      <c r="Q448" t="str">
        <f>TEXT(Table1[[#This Row],[Order_Date]],"mmm-yyyy")</f>
        <v>Sep-2024</v>
      </c>
    </row>
    <row r="449" spans="1:17" x14ac:dyDescent="0.35">
      <c r="A449" t="s">
        <v>743</v>
      </c>
      <c r="B449" t="s">
        <v>88</v>
      </c>
      <c r="C449" t="s">
        <v>42</v>
      </c>
      <c r="D449" t="s">
        <v>11</v>
      </c>
      <c r="E449" t="s">
        <v>17</v>
      </c>
      <c r="F449" t="s">
        <v>34</v>
      </c>
      <c r="G449">
        <v>3</v>
      </c>
      <c r="H449">
        <v>1137</v>
      </c>
      <c r="I449" t="str">
        <f>VLOOKUP(D449,Product_Master!A:D,2,FALSE)</f>
        <v>Chair</v>
      </c>
      <c r="J449" t="str">
        <f>VLOOKUP(D449,Product_Master!A:D,3,FALSE)</f>
        <v>Furniture</v>
      </c>
      <c r="K449">
        <f>VLOOKUP(D449,Product_Master!A:D,4,FALSE)</f>
        <v>150</v>
      </c>
      <c r="L449" t="str">
        <f>VLOOKUP(C449,Customer_Master!A:C,2,FALSE)</f>
        <v>Ramesh</v>
      </c>
      <c r="M449" t="str">
        <f>VLOOKUP(C449,Customer_Master!A:C,3,FALSE)</f>
        <v>Consumer</v>
      </c>
      <c r="N449">
        <f>Table1[[#This Row],[Quantity]]*Table1[[#This Row],[Unit_Price]]</f>
        <v>3411</v>
      </c>
      <c r="O449">
        <f>(Table1[[#This Row],[Unit_Price]]-Table1[[#This Row],[Cost_Price]])*Table1[[#This Row],[Quantity]]</f>
        <v>2961</v>
      </c>
      <c r="P449">
        <f t="shared" si="6"/>
        <v>3411</v>
      </c>
      <c r="Q449" t="str">
        <f>TEXT(Table1[[#This Row],[Order_Date]],"mmm-yyyy")</f>
        <v>Jul-2024</v>
      </c>
    </row>
    <row r="450" spans="1:17" x14ac:dyDescent="0.35">
      <c r="A450" t="s">
        <v>744</v>
      </c>
      <c r="B450" t="s">
        <v>261</v>
      </c>
      <c r="C450" t="s">
        <v>42</v>
      </c>
      <c r="D450" t="s">
        <v>16</v>
      </c>
      <c r="E450" t="s">
        <v>27</v>
      </c>
      <c r="F450" t="s">
        <v>13</v>
      </c>
      <c r="G450">
        <v>5</v>
      </c>
      <c r="H450">
        <v>921</v>
      </c>
      <c r="I450" t="str">
        <f>VLOOKUP(D450,Product_Master!A:D,2,FALSE)</f>
        <v>Printer</v>
      </c>
      <c r="J450" t="str">
        <f>VLOOKUP(D450,Product_Master!A:D,3,FALSE)</f>
        <v>Electronics</v>
      </c>
      <c r="K450">
        <f>VLOOKUP(D450,Product_Master!A:D,4,FALSE)</f>
        <v>1100</v>
      </c>
      <c r="L450" t="str">
        <f>VLOOKUP(C450,Customer_Master!A:C,2,FALSE)</f>
        <v>Ramesh</v>
      </c>
      <c r="M450" t="str">
        <f>VLOOKUP(C450,Customer_Master!A:C,3,FALSE)</f>
        <v>Consumer</v>
      </c>
      <c r="N450">
        <f>Table1[[#This Row],[Quantity]]*Table1[[#This Row],[Unit_Price]]</f>
        <v>4605</v>
      </c>
      <c r="O450">
        <f>(Table1[[#This Row],[Unit_Price]]-Table1[[#This Row],[Cost_Price]])*Table1[[#This Row],[Quantity]]</f>
        <v>-895</v>
      </c>
      <c r="P450">
        <f t="shared" ref="P450:P513" si="7">VALUE(N450)</f>
        <v>4605</v>
      </c>
      <c r="Q450" t="str">
        <f>TEXT(Table1[[#This Row],[Order_Date]],"mmm-yyyy")</f>
        <v>Mar-2024</v>
      </c>
    </row>
    <row r="451" spans="1:17" x14ac:dyDescent="0.35">
      <c r="A451" t="s">
        <v>745</v>
      </c>
      <c r="B451" t="s">
        <v>554</v>
      </c>
      <c r="C451" t="s">
        <v>21</v>
      </c>
      <c r="D451" t="s">
        <v>11</v>
      </c>
      <c r="E451" t="s">
        <v>33</v>
      </c>
      <c r="F451" t="s">
        <v>13</v>
      </c>
      <c r="G451">
        <v>4</v>
      </c>
      <c r="H451">
        <v>1025</v>
      </c>
      <c r="I451" t="str">
        <f>VLOOKUP(D451,Product_Master!A:D,2,FALSE)</f>
        <v>Chair</v>
      </c>
      <c r="J451" t="str">
        <f>VLOOKUP(D451,Product_Master!A:D,3,FALSE)</f>
        <v>Furniture</v>
      </c>
      <c r="K451">
        <f>VLOOKUP(D451,Product_Master!A:D,4,FALSE)</f>
        <v>150</v>
      </c>
      <c r="L451" t="str">
        <f>VLOOKUP(C451,Customer_Master!A:C,2,FALSE)</f>
        <v>Reliance</v>
      </c>
      <c r="M451" t="str">
        <f>VLOOKUP(C451,Customer_Master!A:C,3,FALSE)</f>
        <v>Corporate</v>
      </c>
      <c r="N451">
        <f>Table1[[#This Row],[Quantity]]*Table1[[#This Row],[Unit_Price]]</f>
        <v>4100</v>
      </c>
      <c r="O451">
        <f>(Table1[[#This Row],[Unit_Price]]-Table1[[#This Row],[Cost_Price]])*Table1[[#This Row],[Quantity]]</f>
        <v>3500</v>
      </c>
      <c r="P451">
        <f t="shared" si="7"/>
        <v>4100</v>
      </c>
      <c r="Q451" t="str">
        <f>TEXT(Table1[[#This Row],[Order_Date]],"mmm-yyyy")</f>
        <v>Apr-2024</v>
      </c>
    </row>
    <row r="452" spans="1:17" x14ac:dyDescent="0.35">
      <c r="A452" t="s">
        <v>746</v>
      </c>
      <c r="B452" t="s">
        <v>638</v>
      </c>
      <c r="C452" t="s">
        <v>45</v>
      </c>
      <c r="D452" t="s">
        <v>37</v>
      </c>
      <c r="E452" t="s">
        <v>33</v>
      </c>
      <c r="F452" t="s">
        <v>23</v>
      </c>
      <c r="G452">
        <v>2</v>
      </c>
      <c r="H452">
        <v>1909</v>
      </c>
      <c r="I452" t="str">
        <f>VLOOKUP(D452,Product_Master!A:D,2,FALSE)</f>
        <v>Mobile</v>
      </c>
      <c r="J452" t="str">
        <f>VLOOKUP(D452,Product_Master!A:D,3,FALSE)</f>
        <v>Electronics</v>
      </c>
      <c r="K452">
        <f>VLOOKUP(D452,Product_Master!A:D,4,FALSE)</f>
        <v>600</v>
      </c>
      <c r="L452" t="str">
        <f>VLOOKUP(C452,Customer_Master!A:C,2,FALSE)</f>
        <v>TCS</v>
      </c>
      <c r="M452" t="str">
        <f>VLOOKUP(C452,Customer_Master!A:C,3,FALSE)</f>
        <v>Corporate</v>
      </c>
      <c r="N452">
        <f>Table1[[#This Row],[Quantity]]*Table1[[#This Row],[Unit_Price]]</f>
        <v>3818</v>
      </c>
      <c r="O452">
        <f>(Table1[[#This Row],[Unit_Price]]-Table1[[#This Row],[Cost_Price]])*Table1[[#This Row],[Quantity]]</f>
        <v>2618</v>
      </c>
      <c r="P452">
        <f t="shared" si="7"/>
        <v>3818</v>
      </c>
      <c r="Q452" t="str">
        <f>TEXT(Table1[[#This Row],[Order_Date]],"mmm-yyyy")</f>
        <v>Feb-2024</v>
      </c>
    </row>
    <row r="453" spans="1:17" x14ac:dyDescent="0.35">
      <c r="A453" t="s">
        <v>747</v>
      </c>
      <c r="B453" t="s">
        <v>567</v>
      </c>
      <c r="C453" t="s">
        <v>10</v>
      </c>
      <c r="D453" t="s">
        <v>22</v>
      </c>
      <c r="E453" t="s">
        <v>17</v>
      </c>
      <c r="F453" t="s">
        <v>34</v>
      </c>
      <c r="G453">
        <v>5</v>
      </c>
      <c r="H453">
        <v>1790</v>
      </c>
      <c r="I453" t="str">
        <f>VLOOKUP(D453,Product_Master!A:D,2,FALSE)</f>
        <v>Desk</v>
      </c>
      <c r="J453" t="str">
        <f>VLOOKUP(D453,Product_Master!A:D,3,FALSE)</f>
        <v>Furniture</v>
      </c>
      <c r="K453">
        <f>VLOOKUP(D453,Product_Master!A:D,4,FALSE)</f>
        <v>300</v>
      </c>
      <c r="L453" t="str">
        <f>VLOOKUP(C453,Customer_Master!A:C,2,FALSE)</f>
        <v>Suresh</v>
      </c>
      <c r="M453" t="str">
        <f>VLOOKUP(C453,Customer_Master!A:C,3,FALSE)</f>
        <v>Consumer</v>
      </c>
      <c r="N453">
        <f>Table1[[#This Row],[Quantity]]*Table1[[#This Row],[Unit_Price]]</f>
        <v>8950</v>
      </c>
      <c r="O453">
        <f>(Table1[[#This Row],[Unit_Price]]-Table1[[#This Row],[Cost_Price]])*Table1[[#This Row],[Quantity]]</f>
        <v>7450</v>
      </c>
      <c r="P453">
        <f t="shared" si="7"/>
        <v>8950</v>
      </c>
      <c r="Q453" t="str">
        <f>TEXT(Table1[[#This Row],[Order_Date]],"mmm-yyyy")</f>
        <v>Apr-2024</v>
      </c>
    </row>
    <row r="454" spans="1:17" x14ac:dyDescent="0.35">
      <c r="A454" t="s">
        <v>748</v>
      </c>
      <c r="B454" t="s">
        <v>294</v>
      </c>
      <c r="C454" t="s">
        <v>30</v>
      </c>
      <c r="D454" t="s">
        <v>37</v>
      </c>
      <c r="E454" t="s">
        <v>33</v>
      </c>
      <c r="F454" t="s">
        <v>34</v>
      </c>
      <c r="G454">
        <v>5</v>
      </c>
      <c r="H454">
        <v>1477</v>
      </c>
      <c r="I454" t="str">
        <f>VLOOKUP(D454,Product_Master!A:D,2,FALSE)</f>
        <v>Mobile</v>
      </c>
      <c r="J454" t="str">
        <f>VLOOKUP(D454,Product_Master!A:D,3,FALSE)</f>
        <v>Electronics</v>
      </c>
      <c r="K454">
        <f>VLOOKUP(D454,Product_Master!A:D,4,FALSE)</f>
        <v>600</v>
      </c>
      <c r="L454" t="str">
        <f>VLOOKUP(C454,Customer_Master!A:C,2,FALSE)</f>
        <v>Infosys</v>
      </c>
      <c r="M454" t="str">
        <f>VLOOKUP(C454,Customer_Master!A:C,3,FALSE)</f>
        <v>Corporate</v>
      </c>
      <c r="N454">
        <f>Table1[[#This Row],[Quantity]]*Table1[[#This Row],[Unit_Price]]</f>
        <v>7385</v>
      </c>
      <c r="O454">
        <f>(Table1[[#This Row],[Unit_Price]]-Table1[[#This Row],[Cost_Price]])*Table1[[#This Row],[Quantity]]</f>
        <v>4385</v>
      </c>
      <c r="P454">
        <f t="shared" si="7"/>
        <v>7385</v>
      </c>
      <c r="Q454" t="str">
        <f>TEXT(Table1[[#This Row],[Order_Date]],"mmm-yyyy")</f>
        <v>Jun-2024</v>
      </c>
    </row>
    <row r="455" spans="1:17" x14ac:dyDescent="0.35">
      <c r="A455" t="s">
        <v>749</v>
      </c>
      <c r="B455" t="s">
        <v>750</v>
      </c>
      <c r="C455" t="s">
        <v>45</v>
      </c>
      <c r="D455" t="s">
        <v>37</v>
      </c>
      <c r="E455" t="s">
        <v>12</v>
      </c>
      <c r="F455" t="s">
        <v>13</v>
      </c>
      <c r="G455">
        <v>4</v>
      </c>
      <c r="H455">
        <v>1888</v>
      </c>
      <c r="I455" t="str">
        <f>VLOOKUP(D455,Product_Master!A:D,2,FALSE)</f>
        <v>Mobile</v>
      </c>
      <c r="J455" t="str">
        <f>VLOOKUP(D455,Product_Master!A:D,3,FALSE)</f>
        <v>Electronics</v>
      </c>
      <c r="K455">
        <f>VLOOKUP(D455,Product_Master!A:D,4,FALSE)</f>
        <v>600</v>
      </c>
      <c r="L455" t="str">
        <f>VLOOKUP(C455,Customer_Master!A:C,2,FALSE)</f>
        <v>TCS</v>
      </c>
      <c r="M455" t="str">
        <f>VLOOKUP(C455,Customer_Master!A:C,3,FALSE)</f>
        <v>Corporate</v>
      </c>
      <c r="N455">
        <f>Table1[[#This Row],[Quantity]]*Table1[[#This Row],[Unit_Price]]</f>
        <v>7552</v>
      </c>
      <c r="O455">
        <f>(Table1[[#This Row],[Unit_Price]]-Table1[[#This Row],[Cost_Price]])*Table1[[#This Row],[Quantity]]</f>
        <v>5152</v>
      </c>
      <c r="P455">
        <f t="shared" si="7"/>
        <v>7552</v>
      </c>
      <c r="Q455" t="str">
        <f>TEXT(Table1[[#This Row],[Order_Date]],"mmm-yyyy")</f>
        <v>Apr-2024</v>
      </c>
    </row>
    <row r="456" spans="1:17" x14ac:dyDescent="0.35">
      <c r="A456" t="s">
        <v>751</v>
      </c>
      <c r="B456" t="s">
        <v>94</v>
      </c>
      <c r="C456" t="s">
        <v>10</v>
      </c>
      <c r="D456" t="s">
        <v>16</v>
      </c>
      <c r="E456" t="s">
        <v>17</v>
      </c>
      <c r="F456" t="s">
        <v>34</v>
      </c>
      <c r="G456">
        <v>7</v>
      </c>
      <c r="H456">
        <v>1514</v>
      </c>
      <c r="I456" t="str">
        <f>VLOOKUP(D456,Product_Master!A:D,2,FALSE)</f>
        <v>Printer</v>
      </c>
      <c r="J456" t="str">
        <f>VLOOKUP(D456,Product_Master!A:D,3,FALSE)</f>
        <v>Electronics</v>
      </c>
      <c r="K456">
        <f>VLOOKUP(D456,Product_Master!A:D,4,FALSE)</f>
        <v>1100</v>
      </c>
      <c r="L456" t="str">
        <f>VLOOKUP(C456,Customer_Master!A:C,2,FALSE)</f>
        <v>Suresh</v>
      </c>
      <c r="M456" t="str">
        <f>VLOOKUP(C456,Customer_Master!A:C,3,FALSE)</f>
        <v>Consumer</v>
      </c>
      <c r="N456">
        <f>Table1[[#This Row],[Quantity]]*Table1[[#This Row],[Unit_Price]]</f>
        <v>10598</v>
      </c>
      <c r="O456">
        <f>(Table1[[#This Row],[Unit_Price]]-Table1[[#This Row],[Cost_Price]])*Table1[[#This Row],[Quantity]]</f>
        <v>2898</v>
      </c>
      <c r="P456">
        <f t="shared" si="7"/>
        <v>10598</v>
      </c>
      <c r="Q456" t="str">
        <f>TEXT(Table1[[#This Row],[Order_Date]],"mmm-yyyy")</f>
        <v>Feb-2024</v>
      </c>
    </row>
    <row r="457" spans="1:17" x14ac:dyDescent="0.35">
      <c r="A457" t="s">
        <v>752</v>
      </c>
      <c r="B457" t="s">
        <v>527</v>
      </c>
      <c r="C457" t="s">
        <v>21</v>
      </c>
      <c r="D457" t="s">
        <v>11</v>
      </c>
      <c r="E457" t="s">
        <v>12</v>
      </c>
      <c r="F457" t="s">
        <v>18</v>
      </c>
      <c r="G457">
        <v>5</v>
      </c>
      <c r="H457">
        <v>1908</v>
      </c>
      <c r="I457" t="str">
        <f>VLOOKUP(D457,Product_Master!A:D,2,FALSE)</f>
        <v>Chair</v>
      </c>
      <c r="J457" t="str">
        <f>VLOOKUP(D457,Product_Master!A:D,3,FALSE)</f>
        <v>Furniture</v>
      </c>
      <c r="K457">
        <f>VLOOKUP(D457,Product_Master!A:D,4,FALSE)</f>
        <v>150</v>
      </c>
      <c r="L457" t="str">
        <f>VLOOKUP(C457,Customer_Master!A:C,2,FALSE)</f>
        <v>Reliance</v>
      </c>
      <c r="M457" t="str">
        <f>VLOOKUP(C457,Customer_Master!A:C,3,FALSE)</f>
        <v>Corporate</v>
      </c>
      <c r="N457">
        <f>Table1[[#This Row],[Quantity]]*Table1[[#This Row],[Unit_Price]]</f>
        <v>9540</v>
      </c>
      <c r="O457">
        <f>(Table1[[#This Row],[Unit_Price]]-Table1[[#This Row],[Cost_Price]])*Table1[[#This Row],[Quantity]]</f>
        <v>8790</v>
      </c>
      <c r="P457">
        <f t="shared" si="7"/>
        <v>9540</v>
      </c>
      <c r="Q457" t="str">
        <f>TEXT(Table1[[#This Row],[Order_Date]],"mmm-yyyy")</f>
        <v>Oct-2024</v>
      </c>
    </row>
    <row r="458" spans="1:17" x14ac:dyDescent="0.35">
      <c r="A458" t="s">
        <v>753</v>
      </c>
      <c r="B458" t="s">
        <v>754</v>
      </c>
      <c r="C458" t="s">
        <v>42</v>
      </c>
      <c r="D458" t="s">
        <v>37</v>
      </c>
      <c r="E458" t="s">
        <v>12</v>
      </c>
      <c r="F458" t="s">
        <v>23</v>
      </c>
      <c r="G458">
        <v>5</v>
      </c>
      <c r="H458">
        <v>911</v>
      </c>
      <c r="I458" t="str">
        <f>VLOOKUP(D458,Product_Master!A:D,2,FALSE)</f>
        <v>Mobile</v>
      </c>
      <c r="J458" t="str">
        <f>VLOOKUP(D458,Product_Master!A:D,3,FALSE)</f>
        <v>Electronics</v>
      </c>
      <c r="K458">
        <f>VLOOKUP(D458,Product_Master!A:D,4,FALSE)</f>
        <v>600</v>
      </c>
      <c r="L458" t="str">
        <f>VLOOKUP(C458,Customer_Master!A:C,2,FALSE)</f>
        <v>Ramesh</v>
      </c>
      <c r="M458" t="str">
        <f>VLOOKUP(C458,Customer_Master!A:C,3,FALSE)</f>
        <v>Consumer</v>
      </c>
      <c r="N458">
        <f>Table1[[#This Row],[Quantity]]*Table1[[#This Row],[Unit_Price]]</f>
        <v>4555</v>
      </c>
      <c r="O458">
        <f>(Table1[[#This Row],[Unit_Price]]-Table1[[#This Row],[Cost_Price]])*Table1[[#This Row],[Quantity]]</f>
        <v>1555</v>
      </c>
      <c r="P458">
        <f t="shared" si="7"/>
        <v>4555</v>
      </c>
      <c r="Q458" t="str">
        <f>TEXT(Table1[[#This Row],[Order_Date]],"mmm-yyyy")</f>
        <v>Nov-2024</v>
      </c>
    </row>
    <row r="459" spans="1:17" x14ac:dyDescent="0.35">
      <c r="A459" t="s">
        <v>755</v>
      </c>
      <c r="B459" t="s">
        <v>407</v>
      </c>
      <c r="C459" t="s">
        <v>30</v>
      </c>
      <c r="D459" t="s">
        <v>22</v>
      </c>
      <c r="E459" t="s">
        <v>27</v>
      </c>
      <c r="F459" t="s">
        <v>13</v>
      </c>
      <c r="G459">
        <v>2</v>
      </c>
      <c r="H459">
        <v>1688</v>
      </c>
      <c r="I459" t="str">
        <f>VLOOKUP(D459,Product_Master!A:D,2,FALSE)</f>
        <v>Desk</v>
      </c>
      <c r="J459" t="str">
        <f>VLOOKUP(D459,Product_Master!A:D,3,FALSE)</f>
        <v>Furniture</v>
      </c>
      <c r="K459">
        <f>VLOOKUP(D459,Product_Master!A:D,4,FALSE)</f>
        <v>300</v>
      </c>
      <c r="L459" t="str">
        <f>VLOOKUP(C459,Customer_Master!A:C,2,FALSE)</f>
        <v>Infosys</v>
      </c>
      <c r="M459" t="str">
        <f>VLOOKUP(C459,Customer_Master!A:C,3,FALSE)</f>
        <v>Corporate</v>
      </c>
      <c r="N459">
        <f>Table1[[#This Row],[Quantity]]*Table1[[#This Row],[Unit_Price]]</f>
        <v>3376</v>
      </c>
      <c r="O459">
        <f>(Table1[[#This Row],[Unit_Price]]-Table1[[#This Row],[Cost_Price]])*Table1[[#This Row],[Quantity]]</f>
        <v>2776</v>
      </c>
      <c r="P459">
        <f t="shared" si="7"/>
        <v>3376</v>
      </c>
      <c r="Q459" t="str">
        <f>TEXT(Table1[[#This Row],[Order_Date]],"mmm-yyyy")</f>
        <v>Mar-2024</v>
      </c>
    </row>
    <row r="460" spans="1:17" x14ac:dyDescent="0.35">
      <c r="A460" t="s">
        <v>756</v>
      </c>
      <c r="B460" t="s">
        <v>757</v>
      </c>
      <c r="C460" t="s">
        <v>10</v>
      </c>
      <c r="D460" t="s">
        <v>37</v>
      </c>
      <c r="E460" t="s">
        <v>27</v>
      </c>
      <c r="F460" t="s">
        <v>34</v>
      </c>
      <c r="G460">
        <v>9</v>
      </c>
      <c r="H460">
        <v>1796</v>
      </c>
      <c r="I460" t="str">
        <f>VLOOKUP(D460,Product_Master!A:D,2,FALSE)</f>
        <v>Mobile</v>
      </c>
      <c r="J460" t="str">
        <f>VLOOKUP(D460,Product_Master!A:D,3,FALSE)</f>
        <v>Electronics</v>
      </c>
      <c r="K460">
        <f>VLOOKUP(D460,Product_Master!A:D,4,FALSE)</f>
        <v>600</v>
      </c>
      <c r="L460" t="str">
        <f>VLOOKUP(C460,Customer_Master!A:C,2,FALSE)</f>
        <v>Suresh</v>
      </c>
      <c r="M460" t="str">
        <f>VLOOKUP(C460,Customer_Master!A:C,3,FALSE)</f>
        <v>Consumer</v>
      </c>
      <c r="N460">
        <f>Table1[[#This Row],[Quantity]]*Table1[[#This Row],[Unit_Price]]</f>
        <v>16164</v>
      </c>
      <c r="O460">
        <f>(Table1[[#This Row],[Unit_Price]]-Table1[[#This Row],[Cost_Price]])*Table1[[#This Row],[Quantity]]</f>
        <v>10764</v>
      </c>
      <c r="P460">
        <f t="shared" si="7"/>
        <v>16164</v>
      </c>
      <c r="Q460" t="str">
        <f>TEXT(Table1[[#This Row],[Order_Date]],"mmm-yyyy")</f>
        <v>Oct-2024</v>
      </c>
    </row>
    <row r="461" spans="1:17" x14ac:dyDescent="0.35">
      <c r="A461" t="s">
        <v>758</v>
      </c>
      <c r="B461" t="s">
        <v>451</v>
      </c>
      <c r="C461" t="s">
        <v>45</v>
      </c>
      <c r="D461" t="s">
        <v>37</v>
      </c>
      <c r="E461" t="s">
        <v>12</v>
      </c>
      <c r="F461" t="s">
        <v>13</v>
      </c>
      <c r="G461">
        <v>9</v>
      </c>
      <c r="H461">
        <v>1426</v>
      </c>
      <c r="I461" t="str">
        <f>VLOOKUP(D461,Product_Master!A:D,2,FALSE)</f>
        <v>Mobile</v>
      </c>
      <c r="J461" t="str">
        <f>VLOOKUP(D461,Product_Master!A:D,3,FALSE)</f>
        <v>Electronics</v>
      </c>
      <c r="K461">
        <f>VLOOKUP(D461,Product_Master!A:D,4,FALSE)</f>
        <v>600</v>
      </c>
      <c r="L461" t="str">
        <f>VLOOKUP(C461,Customer_Master!A:C,2,FALSE)</f>
        <v>TCS</v>
      </c>
      <c r="M461" t="str">
        <f>VLOOKUP(C461,Customer_Master!A:C,3,FALSE)</f>
        <v>Corporate</v>
      </c>
      <c r="N461">
        <f>Table1[[#This Row],[Quantity]]*Table1[[#This Row],[Unit_Price]]</f>
        <v>12834</v>
      </c>
      <c r="O461">
        <f>(Table1[[#This Row],[Unit_Price]]-Table1[[#This Row],[Cost_Price]])*Table1[[#This Row],[Quantity]]</f>
        <v>7434</v>
      </c>
      <c r="P461">
        <f t="shared" si="7"/>
        <v>12834</v>
      </c>
      <c r="Q461" t="str">
        <f>TEXT(Table1[[#This Row],[Order_Date]],"mmm-yyyy")</f>
        <v>Jun-2024</v>
      </c>
    </row>
    <row r="462" spans="1:17" x14ac:dyDescent="0.35">
      <c r="A462" t="s">
        <v>759</v>
      </c>
      <c r="B462" t="s">
        <v>517</v>
      </c>
      <c r="C462" t="s">
        <v>30</v>
      </c>
      <c r="D462" t="s">
        <v>22</v>
      </c>
      <c r="E462" t="s">
        <v>17</v>
      </c>
      <c r="F462" t="s">
        <v>13</v>
      </c>
      <c r="G462">
        <v>7</v>
      </c>
      <c r="H462">
        <v>801</v>
      </c>
      <c r="I462" t="str">
        <f>VLOOKUP(D462,Product_Master!A:D,2,FALSE)</f>
        <v>Desk</v>
      </c>
      <c r="J462" t="str">
        <f>VLOOKUP(D462,Product_Master!A:D,3,FALSE)</f>
        <v>Furniture</v>
      </c>
      <c r="K462">
        <f>VLOOKUP(D462,Product_Master!A:D,4,FALSE)</f>
        <v>300</v>
      </c>
      <c r="L462" t="str">
        <f>VLOOKUP(C462,Customer_Master!A:C,2,FALSE)</f>
        <v>Infosys</v>
      </c>
      <c r="M462" t="str">
        <f>VLOOKUP(C462,Customer_Master!A:C,3,FALSE)</f>
        <v>Corporate</v>
      </c>
      <c r="N462">
        <f>Table1[[#This Row],[Quantity]]*Table1[[#This Row],[Unit_Price]]</f>
        <v>5607</v>
      </c>
      <c r="O462">
        <f>(Table1[[#This Row],[Unit_Price]]-Table1[[#This Row],[Cost_Price]])*Table1[[#This Row],[Quantity]]</f>
        <v>3507</v>
      </c>
      <c r="P462">
        <f t="shared" si="7"/>
        <v>5607</v>
      </c>
      <c r="Q462" t="str">
        <f>TEXT(Table1[[#This Row],[Order_Date]],"mmm-yyyy")</f>
        <v>May-2024</v>
      </c>
    </row>
    <row r="463" spans="1:17" x14ac:dyDescent="0.35">
      <c r="A463" t="s">
        <v>760</v>
      </c>
      <c r="B463" t="s">
        <v>66</v>
      </c>
      <c r="C463" t="s">
        <v>42</v>
      </c>
      <c r="D463" t="s">
        <v>16</v>
      </c>
      <c r="E463" t="s">
        <v>17</v>
      </c>
      <c r="F463" t="s">
        <v>23</v>
      </c>
      <c r="G463">
        <v>3</v>
      </c>
      <c r="H463">
        <v>1623</v>
      </c>
      <c r="I463" t="str">
        <f>VLOOKUP(D463,Product_Master!A:D,2,FALSE)</f>
        <v>Printer</v>
      </c>
      <c r="J463" t="str">
        <f>VLOOKUP(D463,Product_Master!A:D,3,FALSE)</f>
        <v>Electronics</v>
      </c>
      <c r="K463">
        <f>VLOOKUP(D463,Product_Master!A:D,4,FALSE)</f>
        <v>1100</v>
      </c>
      <c r="L463" t="str">
        <f>VLOOKUP(C463,Customer_Master!A:C,2,FALSE)</f>
        <v>Ramesh</v>
      </c>
      <c r="M463" t="str">
        <f>VLOOKUP(C463,Customer_Master!A:C,3,FALSE)</f>
        <v>Consumer</v>
      </c>
      <c r="N463">
        <f>Table1[[#This Row],[Quantity]]*Table1[[#This Row],[Unit_Price]]</f>
        <v>4869</v>
      </c>
      <c r="O463">
        <f>(Table1[[#This Row],[Unit_Price]]-Table1[[#This Row],[Cost_Price]])*Table1[[#This Row],[Quantity]]</f>
        <v>1569</v>
      </c>
      <c r="P463">
        <f t="shared" si="7"/>
        <v>4869</v>
      </c>
      <c r="Q463" t="str">
        <f>TEXT(Table1[[#This Row],[Order_Date]],"mmm-yyyy")</f>
        <v>Apr-2024</v>
      </c>
    </row>
    <row r="464" spans="1:17" x14ac:dyDescent="0.35">
      <c r="A464" t="s">
        <v>761</v>
      </c>
      <c r="B464" t="s">
        <v>55</v>
      </c>
      <c r="C464" t="s">
        <v>21</v>
      </c>
      <c r="D464" t="s">
        <v>11</v>
      </c>
      <c r="E464" t="s">
        <v>27</v>
      </c>
      <c r="F464" t="s">
        <v>34</v>
      </c>
      <c r="G464">
        <v>8</v>
      </c>
      <c r="H464">
        <v>1447</v>
      </c>
      <c r="I464" t="str">
        <f>VLOOKUP(D464,Product_Master!A:D,2,FALSE)</f>
        <v>Chair</v>
      </c>
      <c r="J464" t="str">
        <f>VLOOKUP(D464,Product_Master!A:D,3,FALSE)</f>
        <v>Furniture</v>
      </c>
      <c r="K464">
        <f>VLOOKUP(D464,Product_Master!A:D,4,FALSE)</f>
        <v>150</v>
      </c>
      <c r="L464" t="str">
        <f>VLOOKUP(C464,Customer_Master!A:C,2,FALSE)</f>
        <v>Reliance</v>
      </c>
      <c r="M464" t="str">
        <f>VLOOKUP(C464,Customer_Master!A:C,3,FALSE)</f>
        <v>Corporate</v>
      </c>
      <c r="N464">
        <f>Table1[[#This Row],[Quantity]]*Table1[[#This Row],[Unit_Price]]</f>
        <v>11576</v>
      </c>
      <c r="O464">
        <f>(Table1[[#This Row],[Unit_Price]]-Table1[[#This Row],[Cost_Price]])*Table1[[#This Row],[Quantity]]</f>
        <v>10376</v>
      </c>
      <c r="P464">
        <f t="shared" si="7"/>
        <v>11576</v>
      </c>
      <c r="Q464" t="str">
        <f>TEXT(Table1[[#This Row],[Order_Date]],"mmm-yyyy")</f>
        <v>Feb-2024</v>
      </c>
    </row>
    <row r="465" spans="1:17" x14ac:dyDescent="0.35">
      <c r="A465" t="s">
        <v>762</v>
      </c>
      <c r="B465" t="s">
        <v>269</v>
      </c>
      <c r="C465" t="s">
        <v>30</v>
      </c>
      <c r="D465" t="s">
        <v>22</v>
      </c>
      <c r="E465" t="s">
        <v>27</v>
      </c>
      <c r="F465" t="s">
        <v>13</v>
      </c>
      <c r="G465">
        <v>10</v>
      </c>
      <c r="H465">
        <v>1530</v>
      </c>
      <c r="I465" t="str">
        <f>VLOOKUP(D465,Product_Master!A:D,2,FALSE)</f>
        <v>Desk</v>
      </c>
      <c r="J465" t="str">
        <f>VLOOKUP(D465,Product_Master!A:D,3,FALSE)</f>
        <v>Furniture</v>
      </c>
      <c r="K465">
        <f>VLOOKUP(D465,Product_Master!A:D,4,FALSE)</f>
        <v>300</v>
      </c>
      <c r="L465" t="str">
        <f>VLOOKUP(C465,Customer_Master!A:C,2,FALSE)</f>
        <v>Infosys</v>
      </c>
      <c r="M465" t="str">
        <f>VLOOKUP(C465,Customer_Master!A:C,3,FALSE)</f>
        <v>Corporate</v>
      </c>
      <c r="N465">
        <f>Table1[[#This Row],[Quantity]]*Table1[[#This Row],[Unit_Price]]</f>
        <v>15300</v>
      </c>
      <c r="O465">
        <f>(Table1[[#This Row],[Unit_Price]]-Table1[[#This Row],[Cost_Price]])*Table1[[#This Row],[Quantity]]</f>
        <v>12300</v>
      </c>
      <c r="P465">
        <f t="shared" si="7"/>
        <v>15300</v>
      </c>
      <c r="Q465" t="str">
        <f>TEXT(Table1[[#This Row],[Order_Date]],"mmm-yyyy")</f>
        <v>Apr-2024</v>
      </c>
    </row>
    <row r="466" spans="1:17" x14ac:dyDescent="0.35">
      <c r="A466" t="s">
        <v>763</v>
      </c>
      <c r="B466" t="s">
        <v>437</v>
      </c>
      <c r="C466" t="s">
        <v>10</v>
      </c>
      <c r="D466" t="s">
        <v>11</v>
      </c>
      <c r="E466" t="s">
        <v>12</v>
      </c>
      <c r="F466" t="s">
        <v>18</v>
      </c>
      <c r="G466">
        <v>8</v>
      </c>
      <c r="H466">
        <v>1559</v>
      </c>
      <c r="I466" t="str">
        <f>VLOOKUP(D466,Product_Master!A:D,2,FALSE)</f>
        <v>Chair</v>
      </c>
      <c r="J466" t="str">
        <f>VLOOKUP(D466,Product_Master!A:D,3,FALSE)</f>
        <v>Furniture</v>
      </c>
      <c r="K466">
        <f>VLOOKUP(D466,Product_Master!A:D,4,FALSE)</f>
        <v>150</v>
      </c>
      <c r="L466" t="str">
        <f>VLOOKUP(C466,Customer_Master!A:C,2,FALSE)</f>
        <v>Suresh</v>
      </c>
      <c r="M466" t="str">
        <f>VLOOKUP(C466,Customer_Master!A:C,3,FALSE)</f>
        <v>Consumer</v>
      </c>
      <c r="N466">
        <f>Table1[[#This Row],[Quantity]]*Table1[[#This Row],[Unit_Price]]</f>
        <v>12472</v>
      </c>
      <c r="O466">
        <f>(Table1[[#This Row],[Unit_Price]]-Table1[[#This Row],[Cost_Price]])*Table1[[#This Row],[Quantity]]</f>
        <v>11272</v>
      </c>
      <c r="P466">
        <f t="shared" si="7"/>
        <v>12472</v>
      </c>
      <c r="Q466" t="str">
        <f>TEXT(Table1[[#This Row],[Order_Date]],"mmm-yyyy")</f>
        <v>Jul-2024</v>
      </c>
    </row>
    <row r="467" spans="1:17" x14ac:dyDescent="0.35">
      <c r="A467" t="s">
        <v>764</v>
      </c>
      <c r="B467" t="s">
        <v>765</v>
      </c>
      <c r="C467" t="s">
        <v>45</v>
      </c>
      <c r="D467" t="s">
        <v>37</v>
      </c>
      <c r="E467" t="s">
        <v>12</v>
      </c>
      <c r="F467" t="s">
        <v>18</v>
      </c>
      <c r="G467">
        <v>1</v>
      </c>
      <c r="H467">
        <v>1350</v>
      </c>
      <c r="I467" t="str">
        <f>VLOOKUP(D467,Product_Master!A:D,2,FALSE)</f>
        <v>Mobile</v>
      </c>
      <c r="J467" t="str">
        <f>VLOOKUP(D467,Product_Master!A:D,3,FALSE)</f>
        <v>Electronics</v>
      </c>
      <c r="K467">
        <f>VLOOKUP(D467,Product_Master!A:D,4,FALSE)</f>
        <v>600</v>
      </c>
      <c r="L467" t="str">
        <f>VLOOKUP(C467,Customer_Master!A:C,2,FALSE)</f>
        <v>TCS</v>
      </c>
      <c r="M467" t="str">
        <f>VLOOKUP(C467,Customer_Master!A:C,3,FALSE)</f>
        <v>Corporate</v>
      </c>
      <c r="N467">
        <f>Table1[[#This Row],[Quantity]]*Table1[[#This Row],[Unit_Price]]</f>
        <v>1350</v>
      </c>
      <c r="O467">
        <f>(Table1[[#This Row],[Unit_Price]]-Table1[[#This Row],[Cost_Price]])*Table1[[#This Row],[Quantity]]</f>
        <v>750</v>
      </c>
      <c r="P467">
        <f t="shared" si="7"/>
        <v>1350</v>
      </c>
      <c r="Q467" t="str">
        <f>TEXT(Table1[[#This Row],[Order_Date]],"mmm-yyyy")</f>
        <v>Dec-2024</v>
      </c>
    </row>
    <row r="468" spans="1:17" x14ac:dyDescent="0.35">
      <c r="A468" t="s">
        <v>766</v>
      </c>
      <c r="B468" t="s">
        <v>593</v>
      </c>
      <c r="C468" t="s">
        <v>10</v>
      </c>
      <c r="D468" t="s">
        <v>22</v>
      </c>
      <c r="E468" t="s">
        <v>12</v>
      </c>
      <c r="F468" t="s">
        <v>23</v>
      </c>
      <c r="G468">
        <v>5</v>
      </c>
      <c r="H468">
        <v>1636</v>
      </c>
      <c r="I468" t="str">
        <f>VLOOKUP(D468,Product_Master!A:D,2,FALSE)</f>
        <v>Desk</v>
      </c>
      <c r="J468" t="str">
        <f>VLOOKUP(D468,Product_Master!A:D,3,FALSE)</f>
        <v>Furniture</v>
      </c>
      <c r="K468">
        <f>VLOOKUP(D468,Product_Master!A:D,4,FALSE)</f>
        <v>300</v>
      </c>
      <c r="L468" t="str">
        <f>VLOOKUP(C468,Customer_Master!A:C,2,FALSE)</f>
        <v>Suresh</v>
      </c>
      <c r="M468" t="str">
        <f>VLOOKUP(C468,Customer_Master!A:C,3,FALSE)</f>
        <v>Consumer</v>
      </c>
      <c r="N468">
        <f>Table1[[#This Row],[Quantity]]*Table1[[#This Row],[Unit_Price]]</f>
        <v>8180</v>
      </c>
      <c r="O468">
        <f>(Table1[[#This Row],[Unit_Price]]-Table1[[#This Row],[Cost_Price]])*Table1[[#This Row],[Quantity]]</f>
        <v>6680</v>
      </c>
      <c r="P468">
        <f t="shared" si="7"/>
        <v>8180</v>
      </c>
      <c r="Q468" t="str">
        <f>TEXT(Table1[[#This Row],[Order_Date]],"mmm-yyyy")</f>
        <v>May-2024</v>
      </c>
    </row>
    <row r="469" spans="1:17" x14ac:dyDescent="0.35">
      <c r="A469" t="s">
        <v>767</v>
      </c>
      <c r="B469" t="s">
        <v>51</v>
      </c>
      <c r="C469" t="s">
        <v>45</v>
      </c>
      <c r="D469" t="s">
        <v>22</v>
      </c>
      <c r="E469" t="s">
        <v>27</v>
      </c>
      <c r="F469" t="s">
        <v>23</v>
      </c>
      <c r="G469">
        <v>3</v>
      </c>
      <c r="H469">
        <v>1120</v>
      </c>
      <c r="I469" t="str">
        <f>VLOOKUP(D469,Product_Master!A:D,2,FALSE)</f>
        <v>Desk</v>
      </c>
      <c r="J469" t="str">
        <f>VLOOKUP(D469,Product_Master!A:D,3,FALSE)</f>
        <v>Furniture</v>
      </c>
      <c r="K469">
        <f>VLOOKUP(D469,Product_Master!A:D,4,FALSE)</f>
        <v>300</v>
      </c>
      <c r="L469" t="str">
        <f>VLOOKUP(C469,Customer_Master!A:C,2,FALSE)</f>
        <v>TCS</v>
      </c>
      <c r="M469" t="str">
        <f>VLOOKUP(C469,Customer_Master!A:C,3,FALSE)</f>
        <v>Corporate</v>
      </c>
      <c r="N469">
        <f>Table1[[#This Row],[Quantity]]*Table1[[#This Row],[Unit_Price]]</f>
        <v>3360</v>
      </c>
      <c r="O469">
        <f>(Table1[[#This Row],[Unit_Price]]-Table1[[#This Row],[Cost_Price]])*Table1[[#This Row],[Quantity]]</f>
        <v>2460</v>
      </c>
      <c r="P469">
        <f t="shared" si="7"/>
        <v>3360</v>
      </c>
      <c r="Q469" t="str">
        <f>TEXT(Table1[[#This Row],[Order_Date]],"mmm-yyyy")</f>
        <v>Aug-2024</v>
      </c>
    </row>
    <row r="470" spans="1:17" x14ac:dyDescent="0.35">
      <c r="A470" t="s">
        <v>768</v>
      </c>
      <c r="B470" t="s">
        <v>226</v>
      </c>
      <c r="C470" t="s">
        <v>42</v>
      </c>
      <c r="D470" t="s">
        <v>22</v>
      </c>
      <c r="E470" t="s">
        <v>17</v>
      </c>
      <c r="F470" t="s">
        <v>18</v>
      </c>
      <c r="G470">
        <v>4</v>
      </c>
      <c r="H470">
        <v>867</v>
      </c>
      <c r="I470" t="str">
        <f>VLOOKUP(D470,Product_Master!A:D,2,FALSE)</f>
        <v>Desk</v>
      </c>
      <c r="J470" t="str">
        <f>VLOOKUP(D470,Product_Master!A:D,3,FALSE)</f>
        <v>Furniture</v>
      </c>
      <c r="K470">
        <f>VLOOKUP(D470,Product_Master!A:D,4,FALSE)</f>
        <v>300</v>
      </c>
      <c r="L470" t="str">
        <f>VLOOKUP(C470,Customer_Master!A:C,2,FALSE)</f>
        <v>Ramesh</v>
      </c>
      <c r="M470" t="str">
        <f>VLOOKUP(C470,Customer_Master!A:C,3,FALSE)</f>
        <v>Consumer</v>
      </c>
      <c r="N470">
        <f>Table1[[#This Row],[Quantity]]*Table1[[#This Row],[Unit_Price]]</f>
        <v>3468</v>
      </c>
      <c r="O470">
        <f>(Table1[[#This Row],[Unit_Price]]-Table1[[#This Row],[Cost_Price]])*Table1[[#This Row],[Quantity]]</f>
        <v>2268</v>
      </c>
      <c r="P470">
        <f t="shared" si="7"/>
        <v>3468</v>
      </c>
      <c r="Q470" t="str">
        <f>TEXT(Table1[[#This Row],[Order_Date]],"mmm-yyyy")</f>
        <v>May-2024</v>
      </c>
    </row>
    <row r="471" spans="1:17" x14ac:dyDescent="0.35">
      <c r="A471" t="s">
        <v>769</v>
      </c>
      <c r="B471" t="s">
        <v>770</v>
      </c>
      <c r="C471" t="s">
        <v>10</v>
      </c>
      <c r="D471" t="s">
        <v>26</v>
      </c>
      <c r="E471" t="s">
        <v>33</v>
      </c>
      <c r="F471" t="s">
        <v>13</v>
      </c>
      <c r="G471">
        <v>8</v>
      </c>
      <c r="H471">
        <v>1958</v>
      </c>
      <c r="I471" t="str">
        <f>VLOOKUP(D471,Product_Master!A:D,2,FALSE)</f>
        <v>Laptop</v>
      </c>
      <c r="J471" t="str">
        <f>VLOOKUP(D471,Product_Master!A:D,3,FALSE)</f>
        <v>Electronics</v>
      </c>
      <c r="K471">
        <f>VLOOKUP(D471,Product_Master!A:D,4,FALSE)</f>
        <v>900</v>
      </c>
      <c r="L471" t="str">
        <f>VLOOKUP(C471,Customer_Master!A:C,2,FALSE)</f>
        <v>Suresh</v>
      </c>
      <c r="M471" t="str">
        <f>VLOOKUP(C471,Customer_Master!A:C,3,FALSE)</f>
        <v>Consumer</v>
      </c>
      <c r="N471">
        <f>Table1[[#This Row],[Quantity]]*Table1[[#This Row],[Unit_Price]]</f>
        <v>15664</v>
      </c>
      <c r="O471">
        <f>(Table1[[#This Row],[Unit_Price]]-Table1[[#This Row],[Cost_Price]])*Table1[[#This Row],[Quantity]]</f>
        <v>8464</v>
      </c>
      <c r="P471">
        <f t="shared" si="7"/>
        <v>15664</v>
      </c>
      <c r="Q471" t="str">
        <f>TEXT(Table1[[#This Row],[Order_Date]],"mmm-yyyy")</f>
        <v>Mar-2024</v>
      </c>
    </row>
    <row r="472" spans="1:17" x14ac:dyDescent="0.35">
      <c r="A472" t="s">
        <v>771</v>
      </c>
      <c r="B472" t="s">
        <v>468</v>
      </c>
      <c r="C472" t="s">
        <v>30</v>
      </c>
      <c r="D472" t="s">
        <v>16</v>
      </c>
      <c r="E472" t="s">
        <v>33</v>
      </c>
      <c r="F472" t="s">
        <v>34</v>
      </c>
      <c r="G472">
        <v>1</v>
      </c>
      <c r="H472">
        <v>1650</v>
      </c>
      <c r="I472" t="str">
        <f>VLOOKUP(D472,Product_Master!A:D,2,FALSE)</f>
        <v>Printer</v>
      </c>
      <c r="J472" t="str">
        <f>VLOOKUP(D472,Product_Master!A:D,3,FALSE)</f>
        <v>Electronics</v>
      </c>
      <c r="K472">
        <f>VLOOKUP(D472,Product_Master!A:D,4,FALSE)</f>
        <v>1100</v>
      </c>
      <c r="L472" t="str">
        <f>VLOOKUP(C472,Customer_Master!A:C,2,FALSE)</f>
        <v>Infosys</v>
      </c>
      <c r="M472" t="str">
        <f>VLOOKUP(C472,Customer_Master!A:C,3,FALSE)</f>
        <v>Corporate</v>
      </c>
      <c r="N472">
        <f>Table1[[#This Row],[Quantity]]*Table1[[#This Row],[Unit_Price]]</f>
        <v>1650</v>
      </c>
      <c r="O472">
        <f>(Table1[[#This Row],[Unit_Price]]-Table1[[#This Row],[Cost_Price]])*Table1[[#This Row],[Quantity]]</f>
        <v>550</v>
      </c>
      <c r="P472">
        <f t="shared" si="7"/>
        <v>1650</v>
      </c>
      <c r="Q472" t="str">
        <f>TEXT(Table1[[#This Row],[Order_Date]],"mmm-yyyy")</f>
        <v>Mar-2024</v>
      </c>
    </row>
    <row r="473" spans="1:17" x14ac:dyDescent="0.35">
      <c r="A473" t="s">
        <v>772</v>
      </c>
      <c r="B473" t="s">
        <v>773</v>
      </c>
      <c r="C473" t="s">
        <v>30</v>
      </c>
      <c r="D473" t="s">
        <v>16</v>
      </c>
      <c r="E473" t="s">
        <v>33</v>
      </c>
      <c r="F473" t="s">
        <v>34</v>
      </c>
      <c r="G473">
        <v>4</v>
      </c>
      <c r="H473">
        <v>1660</v>
      </c>
      <c r="I473" t="str">
        <f>VLOOKUP(D473,Product_Master!A:D,2,FALSE)</f>
        <v>Printer</v>
      </c>
      <c r="J473" t="str">
        <f>VLOOKUP(D473,Product_Master!A:D,3,FALSE)</f>
        <v>Electronics</v>
      </c>
      <c r="K473">
        <f>VLOOKUP(D473,Product_Master!A:D,4,FALSE)</f>
        <v>1100</v>
      </c>
      <c r="L473" t="str">
        <f>VLOOKUP(C473,Customer_Master!A:C,2,FALSE)</f>
        <v>Infosys</v>
      </c>
      <c r="M473" t="str">
        <f>VLOOKUP(C473,Customer_Master!A:C,3,FALSE)</f>
        <v>Corporate</v>
      </c>
      <c r="N473">
        <f>Table1[[#This Row],[Quantity]]*Table1[[#This Row],[Unit_Price]]</f>
        <v>6640</v>
      </c>
      <c r="O473">
        <f>(Table1[[#This Row],[Unit_Price]]-Table1[[#This Row],[Cost_Price]])*Table1[[#This Row],[Quantity]]</f>
        <v>2240</v>
      </c>
      <c r="P473">
        <f t="shared" si="7"/>
        <v>6640</v>
      </c>
      <c r="Q473" t="str">
        <f>TEXT(Table1[[#This Row],[Order_Date]],"mmm-yyyy")</f>
        <v>Jan-2024</v>
      </c>
    </row>
    <row r="474" spans="1:17" x14ac:dyDescent="0.35">
      <c r="A474" t="s">
        <v>774</v>
      </c>
      <c r="B474" t="s">
        <v>775</v>
      </c>
      <c r="C474" t="s">
        <v>10</v>
      </c>
      <c r="D474" t="s">
        <v>26</v>
      </c>
      <c r="E474" t="s">
        <v>27</v>
      </c>
      <c r="F474" t="s">
        <v>23</v>
      </c>
      <c r="G474">
        <v>2</v>
      </c>
      <c r="H474">
        <v>1922</v>
      </c>
      <c r="I474" t="str">
        <f>VLOOKUP(D474,Product_Master!A:D,2,FALSE)</f>
        <v>Laptop</v>
      </c>
      <c r="J474" t="str">
        <f>VLOOKUP(D474,Product_Master!A:D,3,FALSE)</f>
        <v>Electronics</v>
      </c>
      <c r="K474">
        <f>VLOOKUP(D474,Product_Master!A:D,4,FALSE)</f>
        <v>900</v>
      </c>
      <c r="L474" t="str">
        <f>VLOOKUP(C474,Customer_Master!A:C,2,FALSE)</f>
        <v>Suresh</v>
      </c>
      <c r="M474" t="str">
        <f>VLOOKUP(C474,Customer_Master!A:C,3,FALSE)</f>
        <v>Consumer</v>
      </c>
      <c r="N474">
        <f>Table1[[#This Row],[Quantity]]*Table1[[#This Row],[Unit_Price]]</f>
        <v>3844</v>
      </c>
      <c r="O474">
        <f>(Table1[[#This Row],[Unit_Price]]-Table1[[#This Row],[Cost_Price]])*Table1[[#This Row],[Quantity]]</f>
        <v>2044</v>
      </c>
      <c r="P474">
        <f t="shared" si="7"/>
        <v>3844</v>
      </c>
      <c r="Q474" t="str">
        <f>TEXT(Table1[[#This Row],[Order_Date]],"mmm-yyyy")</f>
        <v>May-2024</v>
      </c>
    </row>
    <row r="475" spans="1:17" x14ac:dyDescent="0.35">
      <c r="A475" t="s">
        <v>776</v>
      </c>
      <c r="B475" t="s">
        <v>92</v>
      </c>
      <c r="C475" t="s">
        <v>45</v>
      </c>
      <c r="D475" t="s">
        <v>11</v>
      </c>
      <c r="E475" t="s">
        <v>17</v>
      </c>
      <c r="F475" t="s">
        <v>23</v>
      </c>
      <c r="G475">
        <v>6</v>
      </c>
      <c r="H475">
        <v>1583</v>
      </c>
      <c r="I475" t="str">
        <f>VLOOKUP(D475,Product_Master!A:D,2,FALSE)</f>
        <v>Chair</v>
      </c>
      <c r="J475" t="str">
        <f>VLOOKUP(D475,Product_Master!A:D,3,FALSE)</f>
        <v>Furniture</v>
      </c>
      <c r="K475">
        <f>VLOOKUP(D475,Product_Master!A:D,4,FALSE)</f>
        <v>150</v>
      </c>
      <c r="L475" t="str">
        <f>VLOOKUP(C475,Customer_Master!A:C,2,FALSE)</f>
        <v>TCS</v>
      </c>
      <c r="M475" t="str">
        <f>VLOOKUP(C475,Customer_Master!A:C,3,FALSE)</f>
        <v>Corporate</v>
      </c>
      <c r="N475">
        <f>Table1[[#This Row],[Quantity]]*Table1[[#This Row],[Unit_Price]]</f>
        <v>9498</v>
      </c>
      <c r="O475">
        <f>(Table1[[#This Row],[Unit_Price]]-Table1[[#This Row],[Cost_Price]])*Table1[[#This Row],[Quantity]]</f>
        <v>8598</v>
      </c>
      <c r="P475">
        <f t="shared" si="7"/>
        <v>9498</v>
      </c>
      <c r="Q475" t="str">
        <f>TEXT(Table1[[#This Row],[Order_Date]],"mmm-yyyy")</f>
        <v>Oct-2024</v>
      </c>
    </row>
    <row r="476" spans="1:17" x14ac:dyDescent="0.35">
      <c r="A476" t="s">
        <v>777</v>
      </c>
      <c r="B476" t="s">
        <v>778</v>
      </c>
      <c r="C476" t="s">
        <v>21</v>
      </c>
      <c r="D476" t="s">
        <v>26</v>
      </c>
      <c r="E476" t="s">
        <v>12</v>
      </c>
      <c r="F476" t="s">
        <v>13</v>
      </c>
      <c r="G476">
        <v>3</v>
      </c>
      <c r="H476">
        <v>1200</v>
      </c>
      <c r="I476" t="str">
        <f>VLOOKUP(D476,Product_Master!A:D,2,FALSE)</f>
        <v>Laptop</v>
      </c>
      <c r="J476" t="str">
        <f>VLOOKUP(D476,Product_Master!A:D,3,FALSE)</f>
        <v>Electronics</v>
      </c>
      <c r="K476">
        <f>VLOOKUP(D476,Product_Master!A:D,4,FALSE)</f>
        <v>900</v>
      </c>
      <c r="L476" t="str">
        <f>VLOOKUP(C476,Customer_Master!A:C,2,FALSE)</f>
        <v>Reliance</v>
      </c>
      <c r="M476" t="str">
        <f>VLOOKUP(C476,Customer_Master!A:C,3,FALSE)</f>
        <v>Corporate</v>
      </c>
      <c r="N476">
        <f>Table1[[#This Row],[Quantity]]*Table1[[#This Row],[Unit_Price]]</f>
        <v>3600</v>
      </c>
      <c r="O476">
        <f>(Table1[[#This Row],[Unit_Price]]-Table1[[#This Row],[Cost_Price]])*Table1[[#This Row],[Quantity]]</f>
        <v>900</v>
      </c>
      <c r="P476">
        <f t="shared" si="7"/>
        <v>3600</v>
      </c>
      <c r="Q476" t="str">
        <f>TEXT(Table1[[#This Row],[Order_Date]],"mmm-yyyy")</f>
        <v>Nov-2024</v>
      </c>
    </row>
    <row r="477" spans="1:17" x14ac:dyDescent="0.35">
      <c r="A477" t="s">
        <v>779</v>
      </c>
      <c r="B477" t="s">
        <v>415</v>
      </c>
      <c r="C477" t="s">
        <v>30</v>
      </c>
      <c r="D477" t="s">
        <v>26</v>
      </c>
      <c r="E477" t="s">
        <v>12</v>
      </c>
      <c r="F477" t="s">
        <v>23</v>
      </c>
      <c r="G477">
        <v>4</v>
      </c>
      <c r="H477">
        <v>981</v>
      </c>
      <c r="I477" t="str">
        <f>VLOOKUP(D477,Product_Master!A:D,2,FALSE)</f>
        <v>Laptop</v>
      </c>
      <c r="J477" t="str">
        <f>VLOOKUP(D477,Product_Master!A:D,3,FALSE)</f>
        <v>Electronics</v>
      </c>
      <c r="K477">
        <f>VLOOKUP(D477,Product_Master!A:D,4,FALSE)</f>
        <v>900</v>
      </c>
      <c r="L477" t="str">
        <f>VLOOKUP(C477,Customer_Master!A:C,2,FALSE)</f>
        <v>Infosys</v>
      </c>
      <c r="M477" t="str">
        <f>VLOOKUP(C477,Customer_Master!A:C,3,FALSE)</f>
        <v>Corporate</v>
      </c>
      <c r="N477">
        <f>Table1[[#This Row],[Quantity]]*Table1[[#This Row],[Unit_Price]]</f>
        <v>3924</v>
      </c>
      <c r="O477">
        <f>(Table1[[#This Row],[Unit_Price]]-Table1[[#This Row],[Cost_Price]])*Table1[[#This Row],[Quantity]]</f>
        <v>324</v>
      </c>
      <c r="P477">
        <f t="shared" si="7"/>
        <v>3924</v>
      </c>
      <c r="Q477" t="str">
        <f>TEXT(Table1[[#This Row],[Order_Date]],"mmm-yyyy")</f>
        <v>Oct-2024</v>
      </c>
    </row>
    <row r="478" spans="1:17" x14ac:dyDescent="0.35">
      <c r="A478" t="s">
        <v>780</v>
      </c>
      <c r="B478" t="s">
        <v>113</v>
      </c>
      <c r="C478" t="s">
        <v>10</v>
      </c>
      <c r="D478" t="s">
        <v>11</v>
      </c>
      <c r="E478" t="s">
        <v>12</v>
      </c>
      <c r="F478" t="s">
        <v>13</v>
      </c>
      <c r="G478">
        <v>6</v>
      </c>
      <c r="H478">
        <v>1848</v>
      </c>
      <c r="I478" t="str">
        <f>VLOOKUP(D478,Product_Master!A:D,2,FALSE)</f>
        <v>Chair</v>
      </c>
      <c r="J478" t="str">
        <f>VLOOKUP(D478,Product_Master!A:D,3,FALSE)</f>
        <v>Furniture</v>
      </c>
      <c r="K478">
        <f>VLOOKUP(D478,Product_Master!A:D,4,FALSE)</f>
        <v>150</v>
      </c>
      <c r="L478" t="str">
        <f>VLOOKUP(C478,Customer_Master!A:C,2,FALSE)</f>
        <v>Suresh</v>
      </c>
      <c r="M478" t="str">
        <f>VLOOKUP(C478,Customer_Master!A:C,3,FALSE)</f>
        <v>Consumer</v>
      </c>
      <c r="N478">
        <f>Table1[[#This Row],[Quantity]]*Table1[[#This Row],[Unit_Price]]</f>
        <v>11088</v>
      </c>
      <c r="O478">
        <f>(Table1[[#This Row],[Unit_Price]]-Table1[[#This Row],[Cost_Price]])*Table1[[#This Row],[Quantity]]</f>
        <v>10188</v>
      </c>
      <c r="P478">
        <f t="shared" si="7"/>
        <v>11088</v>
      </c>
      <c r="Q478" t="str">
        <f>TEXT(Table1[[#This Row],[Order_Date]],"mmm-yyyy")</f>
        <v>Jun-2024</v>
      </c>
    </row>
    <row r="479" spans="1:17" x14ac:dyDescent="0.35">
      <c r="A479" t="s">
        <v>781</v>
      </c>
      <c r="B479" t="s">
        <v>195</v>
      </c>
      <c r="C479" t="s">
        <v>42</v>
      </c>
      <c r="D479" t="s">
        <v>37</v>
      </c>
      <c r="E479" t="s">
        <v>12</v>
      </c>
      <c r="F479" t="s">
        <v>34</v>
      </c>
      <c r="G479">
        <v>2</v>
      </c>
      <c r="H479">
        <v>1076</v>
      </c>
      <c r="I479" t="str">
        <f>VLOOKUP(D479,Product_Master!A:D,2,FALSE)</f>
        <v>Mobile</v>
      </c>
      <c r="J479" t="str">
        <f>VLOOKUP(D479,Product_Master!A:D,3,FALSE)</f>
        <v>Electronics</v>
      </c>
      <c r="K479">
        <f>VLOOKUP(D479,Product_Master!A:D,4,FALSE)</f>
        <v>600</v>
      </c>
      <c r="L479" t="str">
        <f>VLOOKUP(C479,Customer_Master!A:C,2,FALSE)</f>
        <v>Ramesh</v>
      </c>
      <c r="M479" t="str">
        <f>VLOOKUP(C479,Customer_Master!A:C,3,FALSE)</f>
        <v>Consumer</v>
      </c>
      <c r="N479">
        <f>Table1[[#This Row],[Quantity]]*Table1[[#This Row],[Unit_Price]]</f>
        <v>2152</v>
      </c>
      <c r="O479">
        <f>(Table1[[#This Row],[Unit_Price]]-Table1[[#This Row],[Cost_Price]])*Table1[[#This Row],[Quantity]]</f>
        <v>952</v>
      </c>
      <c r="P479">
        <f t="shared" si="7"/>
        <v>2152</v>
      </c>
      <c r="Q479" t="str">
        <f>TEXT(Table1[[#This Row],[Order_Date]],"mmm-yyyy")</f>
        <v>Jun-2024</v>
      </c>
    </row>
    <row r="480" spans="1:17" x14ac:dyDescent="0.35">
      <c r="A480" t="s">
        <v>782</v>
      </c>
      <c r="B480" t="s">
        <v>783</v>
      </c>
      <c r="C480" t="s">
        <v>45</v>
      </c>
      <c r="D480" t="s">
        <v>37</v>
      </c>
      <c r="E480" t="s">
        <v>27</v>
      </c>
      <c r="F480" t="s">
        <v>23</v>
      </c>
      <c r="G480">
        <v>3</v>
      </c>
      <c r="H480">
        <v>1497</v>
      </c>
      <c r="I480" t="str">
        <f>VLOOKUP(D480,Product_Master!A:D,2,FALSE)</f>
        <v>Mobile</v>
      </c>
      <c r="J480" t="str">
        <f>VLOOKUP(D480,Product_Master!A:D,3,FALSE)</f>
        <v>Electronics</v>
      </c>
      <c r="K480">
        <f>VLOOKUP(D480,Product_Master!A:D,4,FALSE)</f>
        <v>600</v>
      </c>
      <c r="L480" t="str">
        <f>VLOOKUP(C480,Customer_Master!A:C,2,FALSE)</f>
        <v>TCS</v>
      </c>
      <c r="M480" t="str">
        <f>VLOOKUP(C480,Customer_Master!A:C,3,FALSE)</f>
        <v>Corporate</v>
      </c>
      <c r="N480">
        <f>Table1[[#This Row],[Quantity]]*Table1[[#This Row],[Unit_Price]]</f>
        <v>4491</v>
      </c>
      <c r="O480">
        <f>(Table1[[#This Row],[Unit_Price]]-Table1[[#This Row],[Cost_Price]])*Table1[[#This Row],[Quantity]]</f>
        <v>2691</v>
      </c>
      <c r="P480">
        <f t="shared" si="7"/>
        <v>4491</v>
      </c>
      <c r="Q480" t="str">
        <f>TEXT(Table1[[#This Row],[Order_Date]],"mmm-yyyy")</f>
        <v>Jun-2024</v>
      </c>
    </row>
    <row r="481" spans="1:17" x14ac:dyDescent="0.35">
      <c r="A481" t="s">
        <v>784</v>
      </c>
      <c r="B481" t="s">
        <v>269</v>
      </c>
      <c r="C481" t="s">
        <v>42</v>
      </c>
      <c r="D481" t="s">
        <v>11</v>
      </c>
      <c r="E481" t="s">
        <v>27</v>
      </c>
      <c r="F481" t="s">
        <v>18</v>
      </c>
      <c r="G481">
        <v>4</v>
      </c>
      <c r="H481">
        <v>1898</v>
      </c>
      <c r="I481" t="str">
        <f>VLOOKUP(D481,Product_Master!A:D,2,FALSE)</f>
        <v>Chair</v>
      </c>
      <c r="J481" t="str">
        <f>VLOOKUP(D481,Product_Master!A:D,3,FALSE)</f>
        <v>Furniture</v>
      </c>
      <c r="K481">
        <f>VLOOKUP(D481,Product_Master!A:D,4,FALSE)</f>
        <v>150</v>
      </c>
      <c r="L481" t="str">
        <f>VLOOKUP(C481,Customer_Master!A:C,2,FALSE)</f>
        <v>Ramesh</v>
      </c>
      <c r="M481" t="str">
        <f>VLOOKUP(C481,Customer_Master!A:C,3,FALSE)</f>
        <v>Consumer</v>
      </c>
      <c r="N481">
        <f>Table1[[#This Row],[Quantity]]*Table1[[#This Row],[Unit_Price]]</f>
        <v>7592</v>
      </c>
      <c r="O481">
        <f>(Table1[[#This Row],[Unit_Price]]-Table1[[#This Row],[Cost_Price]])*Table1[[#This Row],[Quantity]]</f>
        <v>6992</v>
      </c>
      <c r="P481">
        <f t="shared" si="7"/>
        <v>7592</v>
      </c>
      <c r="Q481" t="str">
        <f>TEXT(Table1[[#This Row],[Order_Date]],"mmm-yyyy")</f>
        <v>Apr-2024</v>
      </c>
    </row>
    <row r="482" spans="1:17" x14ac:dyDescent="0.35">
      <c r="A482" t="s">
        <v>785</v>
      </c>
      <c r="B482" t="s">
        <v>645</v>
      </c>
      <c r="C482" t="s">
        <v>42</v>
      </c>
      <c r="D482" t="s">
        <v>37</v>
      </c>
      <c r="E482" t="s">
        <v>12</v>
      </c>
      <c r="F482" t="s">
        <v>34</v>
      </c>
      <c r="G482">
        <v>4</v>
      </c>
      <c r="H482">
        <v>966</v>
      </c>
      <c r="I482" t="str">
        <f>VLOOKUP(D482,Product_Master!A:D,2,FALSE)</f>
        <v>Mobile</v>
      </c>
      <c r="J482" t="str">
        <f>VLOOKUP(D482,Product_Master!A:D,3,FALSE)</f>
        <v>Electronics</v>
      </c>
      <c r="K482">
        <f>VLOOKUP(D482,Product_Master!A:D,4,FALSE)</f>
        <v>600</v>
      </c>
      <c r="L482" t="str">
        <f>VLOOKUP(C482,Customer_Master!A:C,2,FALSE)</f>
        <v>Ramesh</v>
      </c>
      <c r="M482" t="str">
        <f>VLOOKUP(C482,Customer_Master!A:C,3,FALSE)</f>
        <v>Consumer</v>
      </c>
      <c r="N482">
        <f>Table1[[#This Row],[Quantity]]*Table1[[#This Row],[Unit_Price]]</f>
        <v>3864</v>
      </c>
      <c r="O482">
        <f>(Table1[[#This Row],[Unit_Price]]-Table1[[#This Row],[Cost_Price]])*Table1[[#This Row],[Quantity]]</f>
        <v>1464</v>
      </c>
      <c r="P482">
        <f t="shared" si="7"/>
        <v>3864</v>
      </c>
      <c r="Q482" t="str">
        <f>TEXT(Table1[[#This Row],[Order_Date]],"mmm-yyyy")</f>
        <v>Feb-2024</v>
      </c>
    </row>
    <row r="483" spans="1:17" x14ac:dyDescent="0.35">
      <c r="A483" t="s">
        <v>786</v>
      </c>
      <c r="B483" t="s">
        <v>205</v>
      </c>
      <c r="C483" t="s">
        <v>30</v>
      </c>
      <c r="D483" t="s">
        <v>16</v>
      </c>
      <c r="E483" t="s">
        <v>33</v>
      </c>
      <c r="F483" t="s">
        <v>23</v>
      </c>
      <c r="G483">
        <v>8</v>
      </c>
      <c r="H483">
        <v>805</v>
      </c>
      <c r="I483" t="str">
        <f>VLOOKUP(D483,Product_Master!A:D,2,FALSE)</f>
        <v>Printer</v>
      </c>
      <c r="J483" t="str">
        <f>VLOOKUP(D483,Product_Master!A:D,3,FALSE)</f>
        <v>Electronics</v>
      </c>
      <c r="K483">
        <f>VLOOKUP(D483,Product_Master!A:D,4,FALSE)</f>
        <v>1100</v>
      </c>
      <c r="L483" t="str">
        <f>VLOOKUP(C483,Customer_Master!A:C,2,FALSE)</f>
        <v>Infosys</v>
      </c>
      <c r="M483" t="str">
        <f>VLOOKUP(C483,Customer_Master!A:C,3,FALSE)</f>
        <v>Corporate</v>
      </c>
      <c r="N483">
        <f>Table1[[#This Row],[Quantity]]*Table1[[#This Row],[Unit_Price]]</f>
        <v>6440</v>
      </c>
      <c r="O483">
        <f>(Table1[[#This Row],[Unit_Price]]-Table1[[#This Row],[Cost_Price]])*Table1[[#This Row],[Quantity]]</f>
        <v>-2360</v>
      </c>
      <c r="P483">
        <f t="shared" si="7"/>
        <v>6440</v>
      </c>
      <c r="Q483" t="str">
        <f>TEXT(Table1[[#This Row],[Order_Date]],"mmm-yyyy")</f>
        <v>Mar-2024</v>
      </c>
    </row>
    <row r="484" spans="1:17" x14ac:dyDescent="0.35">
      <c r="A484" t="s">
        <v>787</v>
      </c>
      <c r="B484" t="s">
        <v>660</v>
      </c>
      <c r="C484" t="s">
        <v>42</v>
      </c>
      <c r="D484" t="s">
        <v>22</v>
      </c>
      <c r="E484" t="s">
        <v>27</v>
      </c>
      <c r="F484" t="s">
        <v>18</v>
      </c>
      <c r="G484">
        <v>1</v>
      </c>
      <c r="H484">
        <v>819</v>
      </c>
      <c r="I484" t="str">
        <f>VLOOKUP(D484,Product_Master!A:D,2,FALSE)</f>
        <v>Desk</v>
      </c>
      <c r="J484" t="str">
        <f>VLOOKUP(D484,Product_Master!A:D,3,FALSE)</f>
        <v>Furniture</v>
      </c>
      <c r="K484">
        <f>VLOOKUP(D484,Product_Master!A:D,4,FALSE)</f>
        <v>300</v>
      </c>
      <c r="L484" t="str">
        <f>VLOOKUP(C484,Customer_Master!A:C,2,FALSE)</f>
        <v>Ramesh</v>
      </c>
      <c r="M484" t="str">
        <f>VLOOKUP(C484,Customer_Master!A:C,3,FALSE)</f>
        <v>Consumer</v>
      </c>
      <c r="N484">
        <f>Table1[[#This Row],[Quantity]]*Table1[[#This Row],[Unit_Price]]</f>
        <v>819</v>
      </c>
      <c r="O484">
        <f>(Table1[[#This Row],[Unit_Price]]-Table1[[#This Row],[Cost_Price]])*Table1[[#This Row],[Quantity]]</f>
        <v>519</v>
      </c>
      <c r="P484">
        <f t="shared" si="7"/>
        <v>819</v>
      </c>
      <c r="Q484" t="str">
        <f>TEXT(Table1[[#This Row],[Order_Date]],"mmm-yyyy")</f>
        <v>Aug-2024</v>
      </c>
    </row>
    <row r="485" spans="1:17" x14ac:dyDescent="0.35">
      <c r="A485" t="s">
        <v>788</v>
      </c>
      <c r="B485" t="s">
        <v>391</v>
      </c>
      <c r="C485" t="s">
        <v>42</v>
      </c>
      <c r="D485" t="s">
        <v>22</v>
      </c>
      <c r="E485" t="s">
        <v>27</v>
      </c>
      <c r="F485" t="s">
        <v>18</v>
      </c>
      <c r="G485">
        <v>2</v>
      </c>
      <c r="H485">
        <v>1294</v>
      </c>
      <c r="I485" t="str">
        <f>VLOOKUP(D485,Product_Master!A:D,2,FALSE)</f>
        <v>Desk</v>
      </c>
      <c r="J485" t="str">
        <f>VLOOKUP(D485,Product_Master!A:D,3,FALSE)</f>
        <v>Furniture</v>
      </c>
      <c r="K485">
        <f>VLOOKUP(D485,Product_Master!A:D,4,FALSE)</f>
        <v>300</v>
      </c>
      <c r="L485" t="str">
        <f>VLOOKUP(C485,Customer_Master!A:C,2,FALSE)</f>
        <v>Ramesh</v>
      </c>
      <c r="M485" t="str">
        <f>VLOOKUP(C485,Customer_Master!A:C,3,FALSE)</f>
        <v>Consumer</v>
      </c>
      <c r="N485">
        <f>Table1[[#This Row],[Quantity]]*Table1[[#This Row],[Unit_Price]]</f>
        <v>2588</v>
      </c>
      <c r="O485">
        <f>(Table1[[#This Row],[Unit_Price]]-Table1[[#This Row],[Cost_Price]])*Table1[[#This Row],[Quantity]]</f>
        <v>1988</v>
      </c>
      <c r="P485">
        <f t="shared" si="7"/>
        <v>2588</v>
      </c>
      <c r="Q485" t="str">
        <f>TEXT(Table1[[#This Row],[Order_Date]],"mmm-yyyy")</f>
        <v>Apr-2024</v>
      </c>
    </row>
    <row r="486" spans="1:17" x14ac:dyDescent="0.35">
      <c r="A486" t="s">
        <v>789</v>
      </c>
      <c r="B486" t="s">
        <v>790</v>
      </c>
      <c r="C486" t="s">
        <v>45</v>
      </c>
      <c r="D486" t="s">
        <v>26</v>
      </c>
      <c r="E486" t="s">
        <v>33</v>
      </c>
      <c r="F486" t="s">
        <v>23</v>
      </c>
      <c r="G486">
        <v>6</v>
      </c>
      <c r="H486">
        <v>1100</v>
      </c>
      <c r="I486" t="str">
        <f>VLOOKUP(D486,Product_Master!A:D,2,FALSE)</f>
        <v>Laptop</v>
      </c>
      <c r="J486" t="str">
        <f>VLOOKUP(D486,Product_Master!A:D,3,FALSE)</f>
        <v>Electronics</v>
      </c>
      <c r="K486">
        <f>VLOOKUP(D486,Product_Master!A:D,4,FALSE)</f>
        <v>900</v>
      </c>
      <c r="L486" t="str">
        <f>VLOOKUP(C486,Customer_Master!A:C,2,FALSE)</f>
        <v>TCS</v>
      </c>
      <c r="M486" t="str">
        <f>VLOOKUP(C486,Customer_Master!A:C,3,FALSE)</f>
        <v>Corporate</v>
      </c>
      <c r="N486">
        <f>Table1[[#This Row],[Quantity]]*Table1[[#This Row],[Unit_Price]]</f>
        <v>6600</v>
      </c>
      <c r="O486">
        <f>(Table1[[#This Row],[Unit_Price]]-Table1[[#This Row],[Cost_Price]])*Table1[[#This Row],[Quantity]]</f>
        <v>1200</v>
      </c>
      <c r="P486">
        <f t="shared" si="7"/>
        <v>6600</v>
      </c>
      <c r="Q486" t="str">
        <f>TEXT(Table1[[#This Row],[Order_Date]],"mmm-yyyy")</f>
        <v>Jan-2024</v>
      </c>
    </row>
    <row r="487" spans="1:17" x14ac:dyDescent="0.35">
      <c r="A487" t="s">
        <v>791</v>
      </c>
      <c r="B487" t="s">
        <v>792</v>
      </c>
      <c r="C487" t="s">
        <v>10</v>
      </c>
      <c r="D487" t="s">
        <v>16</v>
      </c>
      <c r="E487" t="s">
        <v>12</v>
      </c>
      <c r="F487" t="s">
        <v>34</v>
      </c>
      <c r="G487">
        <v>2</v>
      </c>
      <c r="H487">
        <v>1258</v>
      </c>
      <c r="I487" t="str">
        <f>VLOOKUP(D487,Product_Master!A:D,2,FALSE)</f>
        <v>Printer</v>
      </c>
      <c r="J487" t="str">
        <f>VLOOKUP(D487,Product_Master!A:D,3,FALSE)</f>
        <v>Electronics</v>
      </c>
      <c r="K487">
        <f>VLOOKUP(D487,Product_Master!A:D,4,FALSE)</f>
        <v>1100</v>
      </c>
      <c r="L487" t="str">
        <f>VLOOKUP(C487,Customer_Master!A:C,2,FALSE)</f>
        <v>Suresh</v>
      </c>
      <c r="M487" t="str">
        <f>VLOOKUP(C487,Customer_Master!A:C,3,FALSE)</f>
        <v>Consumer</v>
      </c>
      <c r="N487">
        <f>Table1[[#This Row],[Quantity]]*Table1[[#This Row],[Unit_Price]]</f>
        <v>2516</v>
      </c>
      <c r="O487">
        <f>(Table1[[#This Row],[Unit_Price]]-Table1[[#This Row],[Cost_Price]])*Table1[[#This Row],[Quantity]]</f>
        <v>316</v>
      </c>
      <c r="P487">
        <f t="shared" si="7"/>
        <v>2516</v>
      </c>
      <c r="Q487" t="str">
        <f>TEXT(Table1[[#This Row],[Order_Date]],"mmm-yyyy")</f>
        <v>Jan-2024</v>
      </c>
    </row>
    <row r="488" spans="1:17" x14ac:dyDescent="0.35">
      <c r="A488" t="s">
        <v>793</v>
      </c>
      <c r="B488" t="s">
        <v>794</v>
      </c>
      <c r="C488" t="s">
        <v>45</v>
      </c>
      <c r="D488" t="s">
        <v>37</v>
      </c>
      <c r="E488" t="s">
        <v>17</v>
      </c>
      <c r="F488" t="s">
        <v>18</v>
      </c>
      <c r="G488">
        <v>10</v>
      </c>
      <c r="H488">
        <v>1742</v>
      </c>
      <c r="I488" t="str">
        <f>VLOOKUP(D488,Product_Master!A:D,2,FALSE)</f>
        <v>Mobile</v>
      </c>
      <c r="J488" t="str">
        <f>VLOOKUP(D488,Product_Master!A:D,3,FALSE)</f>
        <v>Electronics</v>
      </c>
      <c r="K488">
        <f>VLOOKUP(D488,Product_Master!A:D,4,FALSE)</f>
        <v>600</v>
      </c>
      <c r="L488" t="str">
        <f>VLOOKUP(C488,Customer_Master!A:C,2,FALSE)</f>
        <v>TCS</v>
      </c>
      <c r="M488" t="str">
        <f>VLOOKUP(C488,Customer_Master!A:C,3,FALSE)</f>
        <v>Corporate</v>
      </c>
      <c r="N488">
        <f>Table1[[#This Row],[Quantity]]*Table1[[#This Row],[Unit_Price]]</f>
        <v>17420</v>
      </c>
      <c r="O488">
        <f>(Table1[[#This Row],[Unit_Price]]-Table1[[#This Row],[Cost_Price]])*Table1[[#This Row],[Quantity]]</f>
        <v>11420</v>
      </c>
      <c r="P488">
        <f t="shared" si="7"/>
        <v>17420</v>
      </c>
      <c r="Q488" t="str">
        <f>TEXT(Table1[[#This Row],[Order_Date]],"mmm-yyyy")</f>
        <v>Jun-2024</v>
      </c>
    </row>
    <row r="489" spans="1:17" x14ac:dyDescent="0.35">
      <c r="A489" t="s">
        <v>795</v>
      </c>
      <c r="B489" t="s">
        <v>417</v>
      </c>
      <c r="C489" t="s">
        <v>45</v>
      </c>
      <c r="D489" t="s">
        <v>16</v>
      </c>
      <c r="E489" t="s">
        <v>33</v>
      </c>
      <c r="F489" t="s">
        <v>23</v>
      </c>
      <c r="G489">
        <v>5</v>
      </c>
      <c r="H489">
        <v>1213</v>
      </c>
      <c r="I489" t="str">
        <f>VLOOKUP(D489,Product_Master!A:D,2,FALSE)</f>
        <v>Printer</v>
      </c>
      <c r="J489" t="str">
        <f>VLOOKUP(D489,Product_Master!A:D,3,FALSE)</f>
        <v>Electronics</v>
      </c>
      <c r="K489">
        <f>VLOOKUP(D489,Product_Master!A:D,4,FALSE)</f>
        <v>1100</v>
      </c>
      <c r="L489" t="str">
        <f>VLOOKUP(C489,Customer_Master!A:C,2,FALSE)</f>
        <v>TCS</v>
      </c>
      <c r="M489" t="str">
        <f>VLOOKUP(C489,Customer_Master!A:C,3,FALSE)</f>
        <v>Corporate</v>
      </c>
      <c r="N489">
        <f>Table1[[#This Row],[Quantity]]*Table1[[#This Row],[Unit_Price]]</f>
        <v>6065</v>
      </c>
      <c r="O489">
        <f>(Table1[[#This Row],[Unit_Price]]-Table1[[#This Row],[Cost_Price]])*Table1[[#This Row],[Quantity]]</f>
        <v>565</v>
      </c>
      <c r="P489">
        <f t="shared" si="7"/>
        <v>6065</v>
      </c>
      <c r="Q489" t="str">
        <f>TEXT(Table1[[#This Row],[Order_Date]],"mmm-yyyy")</f>
        <v>Aug-2024</v>
      </c>
    </row>
    <row r="490" spans="1:17" x14ac:dyDescent="0.35">
      <c r="A490" t="s">
        <v>796</v>
      </c>
      <c r="B490" t="s">
        <v>395</v>
      </c>
      <c r="C490" t="s">
        <v>42</v>
      </c>
      <c r="D490" t="s">
        <v>22</v>
      </c>
      <c r="E490" t="s">
        <v>12</v>
      </c>
      <c r="F490" t="s">
        <v>13</v>
      </c>
      <c r="G490">
        <v>5</v>
      </c>
      <c r="H490">
        <v>1741</v>
      </c>
      <c r="I490" t="str">
        <f>VLOOKUP(D490,Product_Master!A:D,2,FALSE)</f>
        <v>Desk</v>
      </c>
      <c r="J490" t="str">
        <f>VLOOKUP(D490,Product_Master!A:D,3,FALSE)</f>
        <v>Furniture</v>
      </c>
      <c r="K490">
        <f>VLOOKUP(D490,Product_Master!A:D,4,FALSE)</f>
        <v>300</v>
      </c>
      <c r="L490" t="str">
        <f>VLOOKUP(C490,Customer_Master!A:C,2,FALSE)</f>
        <v>Ramesh</v>
      </c>
      <c r="M490" t="str">
        <f>VLOOKUP(C490,Customer_Master!A:C,3,FALSE)</f>
        <v>Consumer</v>
      </c>
      <c r="N490">
        <f>Table1[[#This Row],[Quantity]]*Table1[[#This Row],[Unit_Price]]</f>
        <v>8705</v>
      </c>
      <c r="O490">
        <f>(Table1[[#This Row],[Unit_Price]]-Table1[[#This Row],[Cost_Price]])*Table1[[#This Row],[Quantity]]</f>
        <v>7205</v>
      </c>
      <c r="P490">
        <f t="shared" si="7"/>
        <v>8705</v>
      </c>
      <c r="Q490" t="str">
        <f>TEXT(Table1[[#This Row],[Order_Date]],"mmm-yyyy")</f>
        <v>Jan-2024</v>
      </c>
    </row>
    <row r="491" spans="1:17" x14ac:dyDescent="0.35">
      <c r="A491" t="s">
        <v>797</v>
      </c>
      <c r="B491" t="s">
        <v>563</v>
      </c>
      <c r="C491" t="s">
        <v>42</v>
      </c>
      <c r="D491" t="s">
        <v>22</v>
      </c>
      <c r="E491" t="s">
        <v>33</v>
      </c>
      <c r="F491" t="s">
        <v>18</v>
      </c>
      <c r="G491">
        <v>2</v>
      </c>
      <c r="H491">
        <v>1506</v>
      </c>
      <c r="I491" t="str">
        <f>VLOOKUP(D491,Product_Master!A:D,2,FALSE)</f>
        <v>Desk</v>
      </c>
      <c r="J491" t="str">
        <f>VLOOKUP(D491,Product_Master!A:D,3,FALSE)</f>
        <v>Furniture</v>
      </c>
      <c r="K491">
        <f>VLOOKUP(D491,Product_Master!A:D,4,FALSE)</f>
        <v>300</v>
      </c>
      <c r="L491" t="str">
        <f>VLOOKUP(C491,Customer_Master!A:C,2,FALSE)</f>
        <v>Ramesh</v>
      </c>
      <c r="M491" t="str">
        <f>VLOOKUP(C491,Customer_Master!A:C,3,FALSE)</f>
        <v>Consumer</v>
      </c>
      <c r="N491">
        <f>Table1[[#This Row],[Quantity]]*Table1[[#This Row],[Unit_Price]]</f>
        <v>3012</v>
      </c>
      <c r="O491">
        <f>(Table1[[#This Row],[Unit_Price]]-Table1[[#This Row],[Cost_Price]])*Table1[[#This Row],[Quantity]]</f>
        <v>2412</v>
      </c>
      <c r="P491">
        <f t="shared" si="7"/>
        <v>3012</v>
      </c>
      <c r="Q491" t="str">
        <f>TEXT(Table1[[#This Row],[Order_Date]],"mmm-yyyy")</f>
        <v>Dec-2024</v>
      </c>
    </row>
    <row r="492" spans="1:17" x14ac:dyDescent="0.35">
      <c r="A492" t="s">
        <v>798</v>
      </c>
      <c r="B492" t="s">
        <v>799</v>
      </c>
      <c r="C492" t="s">
        <v>42</v>
      </c>
      <c r="D492" t="s">
        <v>26</v>
      </c>
      <c r="E492" t="s">
        <v>12</v>
      </c>
      <c r="F492" t="s">
        <v>13</v>
      </c>
      <c r="G492">
        <v>7</v>
      </c>
      <c r="H492">
        <v>1330</v>
      </c>
      <c r="I492" t="str">
        <f>VLOOKUP(D492,Product_Master!A:D,2,FALSE)</f>
        <v>Laptop</v>
      </c>
      <c r="J492" t="str">
        <f>VLOOKUP(D492,Product_Master!A:D,3,FALSE)</f>
        <v>Electronics</v>
      </c>
      <c r="K492">
        <f>VLOOKUP(D492,Product_Master!A:D,4,FALSE)</f>
        <v>900</v>
      </c>
      <c r="L492" t="str">
        <f>VLOOKUP(C492,Customer_Master!A:C,2,FALSE)</f>
        <v>Ramesh</v>
      </c>
      <c r="M492" t="str">
        <f>VLOOKUP(C492,Customer_Master!A:C,3,FALSE)</f>
        <v>Consumer</v>
      </c>
      <c r="N492">
        <f>Table1[[#This Row],[Quantity]]*Table1[[#This Row],[Unit_Price]]</f>
        <v>9310</v>
      </c>
      <c r="O492">
        <f>(Table1[[#This Row],[Unit_Price]]-Table1[[#This Row],[Cost_Price]])*Table1[[#This Row],[Quantity]]</f>
        <v>3010</v>
      </c>
      <c r="P492">
        <f t="shared" si="7"/>
        <v>9310</v>
      </c>
      <c r="Q492" t="str">
        <f>TEXT(Table1[[#This Row],[Order_Date]],"mmm-yyyy")</f>
        <v>Mar-2024</v>
      </c>
    </row>
    <row r="493" spans="1:17" x14ac:dyDescent="0.35">
      <c r="A493" t="s">
        <v>800</v>
      </c>
      <c r="B493" t="s">
        <v>226</v>
      </c>
      <c r="C493" t="s">
        <v>42</v>
      </c>
      <c r="D493" t="s">
        <v>11</v>
      </c>
      <c r="E493" t="s">
        <v>27</v>
      </c>
      <c r="F493" t="s">
        <v>23</v>
      </c>
      <c r="G493">
        <v>3</v>
      </c>
      <c r="H493">
        <v>1813</v>
      </c>
      <c r="I493" t="str">
        <f>VLOOKUP(D493,Product_Master!A:D,2,FALSE)</f>
        <v>Chair</v>
      </c>
      <c r="J493" t="str">
        <f>VLOOKUP(D493,Product_Master!A:D,3,FALSE)</f>
        <v>Furniture</v>
      </c>
      <c r="K493">
        <f>VLOOKUP(D493,Product_Master!A:D,4,FALSE)</f>
        <v>150</v>
      </c>
      <c r="L493" t="str">
        <f>VLOOKUP(C493,Customer_Master!A:C,2,FALSE)</f>
        <v>Ramesh</v>
      </c>
      <c r="M493" t="str">
        <f>VLOOKUP(C493,Customer_Master!A:C,3,FALSE)</f>
        <v>Consumer</v>
      </c>
      <c r="N493">
        <f>Table1[[#This Row],[Quantity]]*Table1[[#This Row],[Unit_Price]]</f>
        <v>5439</v>
      </c>
      <c r="O493">
        <f>(Table1[[#This Row],[Unit_Price]]-Table1[[#This Row],[Cost_Price]])*Table1[[#This Row],[Quantity]]</f>
        <v>4989</v>
      </c>
      <c r="P493">
        <f t="shared" si="7"/>
        <v>5439</v>
      </c>
      <c r="Q493" t="str">
        <f>TEXT(Table1[[#This Row],[Order_Date]],"mmm-yyyy")</f>
        <v>May-2024</v>
      </c>
    </row>
    <row r="494" spans="1:17" x14ac:dyDescent="0.35">
      <c r="A494" t="s">
        <v>801</v>
      </c>
      <c r="B494" t="s">
        <v>265</v>
      </c>
      <c r="C494" t="s">
        <v>10</v>
      </c>
      <c r="D494" t="s">
        <v>26</v>
      </c>
      <c r="E494" t="s">
        <v>12</v>
      </c>
      <c r="F494" t="s">
        <v>13</v>
      </c>
      <c r="G494">
        <v>2</v>
      </c>
      <c r="H494">
        <v>1774</v>
      </c>
      <c r="I494" t="str">
        <f>VLOOKUP(D494,Product_Master!A:D,2,FALSE)</f>
        <v>Laptop</v>
      </c>
      <c r="J494" t="str">
        <f>VLOOKUP(D494,Product_Master!A:D,3,FALSE)</f>
        <v>Electronics</v>
      </c>
      <c r="K494">
        <f>VLOOKUP(D494,Product_Master!A:D,4,FALSE)</f>
        <v>900</v>
      </c>
      <c r="L494" t="str">
        <f>VLOOKUP(C494,Customer_Master!A:C,2,FALSE)</f>
        <v>Suresh</v>
      </c>
      <c r="M494" t="str">
        <f>VLOOKUP(C494,Customer_Master!A:C,3,FALSE)</f>
        <v>Consumer</v>
      </c>
      <c r="N494">
        <f>Table1[[#This Row],[Quantity]]*Table1[[#This Row],[Unit_Price]]</f>
        <v>3548</v>
      </c>
      <c r="O494">
        <f>(Table1[[#This Row],[Unit_Price]]-Table1[[#This Row],[Cost_Price]])*Table1[[#This Row],[Quantity]]</f>
        <v>1748</v>
      </c>
      <c r="P494">
        <f t="shared" si="7"/>
        <v>3548</v>
      </c>
      <c r="Q494" t="str">
        <f>TEXT(Table1[[#This Row],[Order_Date]],"mmm-yyyy")</f>
        <v>Apr-2024</v>
      </c>
    </row>
    <row r="495" spans="1:17" x14ac:dyDescent="0.35">
      <c r="A495" t="s">
        <v>802</v>
      </c>
      <c r="B495" t="s">
        <v>233</v>
      </c>
      <c r="C495" t="s">
        <v>45</v>
      </c>
      <c r="D495" t="s">
        <v>11</v>
      </c>
      <c r="E495" t="s">
        <v>12</v>
      </c>
      <c r="F495" t="s">
        <v>18</v>
      </c>
      <c r="G495">
        <v>3</v>
      </c>
      <c r="H495">
        <v>1770</v>
      </c>
      <c r="I495" t="str">
        <f>VLOOKUP(D495,Product_Master!A:D,2,FALSE)</f>
        <v>Chair</v>
      </c>
      <c r="J495" t="str">
        <f>VLOOKUP(D495,Product_Master!A:D,3,FALSE)</f>
        <v>Furniture</v>
      </c>
      <c r="K495">
        <f>VLOOKUP(D495,Product_Master!A:D,4,FALSE)</f>
        <v>150</v>
      </c>
      <c r="L495" t="str">
        <f>VLOOKUP(C495,Customer_Master!A:C,2,FALSE)</f>
        <v>TCS</v>
      </c>
      <c r="M495" t="str">
        <f>VLOOKUP(C495,Customer_Master!A:C,3,FALSE)</f>
        <v>Corporate</v>
      </c>
      <c r="N495">
        <f>Table1[[#This Row],[Quantity]]*Table1[[#This Row],[Unit_Price]]</f>
        <v>5310</v>
      </c>
      <c r="O495">
        <f>(Table1[[#This Row],[Unit_Price]]-Table1[[#This Row],[Cost_Price]])*Table1[[#This Row],[Quantity]]</f>
        <v>4860</v>
      </c>
      <c r="P495">
        <f t="shared" si="7"/>
        <v>5310</v>
      </c>
      <c r="Q495" t="str">
        <f>TEXT(Table1[[#This Row],[Order_Date]],"mmm-yyyy")</f>
        <v>Aug-2024</v>
      </c>
    </row>
    <row r="496" spans="1:17" x14ac:dyDescent="0.35">
      <c r="A496" t="s">
        <v>803</v>
      </c>
      <c r="B496" t="s">
        <v>804</v>
      </c>
      <c r="C496" t="s">
        <v>21</v>
      </c>
      <c r="D496" t="s">
        <v>26</v>
      </c>
      <c r="E496" t="s">
        <v>33</v>
      </c>
      <c r="F496" t="s">
        <v>23</v>
      </c>
      <c r="G496">
        <v>1</v>
      </c>
      <c r="H496">
        <v>1322</v>
      </c>
      <c r="I496" t="str">
        <f>VLOOKUP(D496,Product_Master!A:D,2,FALSE)</f>
        <v>Laptop</v>
      </c>
      <c r="J496" t="str">
        <f>VLOOKUP(D496,Product_Master!A:D,3,FALSE)</f>
        <v>Electronics</v>
      </c>
      <c r="K496">
        <f>VLOOKUP(D496,Product_Master!A:D,4,FALSE)</f>
        <v>900</v>
      </c>
      <c r="L496" t="str">
        <f>VLOOKUP(C496,Customer_Master!A:C,2,FALSE)</f>
        <v>Reliance</v>
      </c>
      <c r="M496" t="str">
        <f>VLOOKUP(C496,Customer_Master!A:C,3,FALSE)</f>
        <v>Corporate</v>
      </c>
      <c r="N496">
        <f>Table1[[#This Row],[Quantity]]*Table1[[#This Row],[Unit_Price]]</f>
        <v>1322</v>
      </c>
      <c r="O496">
        <f>(Table1[[#This Row],[Unit_Price]]-Table1[[#This Row],[Cost_Price]])*Table1[[#This Row],[Quantity]]</f>
        <v>422</v>
      </c>
      <c r="P496">
        <f t="shared" si="7"/>
        <v>1322</v>
      </c>
      <c r="Q496" t="str">
        <f>TEXT(Table1[[#This Row],[Order_Date]],"mmm-yyyy")</f>
        <v>Oct-2024</v>
      </c>
    </row>
    <row r="497" spans="1:17" x14ac:dyDescent="0.35">
      <c r="A497" t="s">
        <v>805</v>
      </c>
      <c r="B497" t="s">
        <v>806</v>
      </c>
      <c r="C497" t="s">
        <v>45</v>
      </c>
      <c r="D497" t="s">
        <v>11</v>
      </c>
      <c r="E497" t="s">
        <v>12</v>
      </c>
      <c r="F497" t="s">
        <v>18</v>
      </c>
      <c r="G497">
        <v>5</v>
      </c>
      <c r="H497">
        <v>1944</v>
      </c>
      <c r="I497" t="str">
        <f>VLOOKUP(D497,Product_Master!A:D,2,FALSE)</f>
        <v>Chair</v>
      </c>
      <c r="J497" t="str">
        <f>VLOOKUP(D497,Product_Master!A:D,3,FALSE)</f>
        <v>Furniture</v>
      </c>
      <c r="K497">
        <f>VLOOKUP(D497,Product_Master!A:D,4,FALSE)</f>
        <v>150</v>
      </c>
      <c r="L497" t="str">
        <f>VLOOKUP(C497,Customer_Master!A:C,2,FALSE)</f>
        <v>TCS</v>
      </c>
      <c r="M497" t="str">
        <f>VLOOKUP(C497,Customer_Master!A:C,3,FALSE)</f>
        <v>Corporate</v>
      </c>
      <c r="N497">
        <f>Table1[[#This Row],[Quantity]]*Table1[[#This Row],[Unit_Price]]</f>
        <v>9720</v>
      </c>
      <c r="O497">
        <f>(Table1[[#This Row],[Unit_Price]]-Table1[[#This Row],[Cost_Price]])*Table1[[#This Row],[Quantity]]</f>
        <v>8970</v>
      </c>
      <c r="P497">
        <f t="shared" si="7"/>
        <v>9720</v>
      </c>
      <c r="Q497" t="str">
        <f>TEXT(Table1[[#This Row],[Order_Date]],"mmm-yyyy")</f>
        <v>May-2024</v>
      </c>
    </row>
    <row r="498" spans="1:17" x14ac:dyDescent="0.35">
      <c r="A498" t="s">
        <v>807</v>
      </c>
      <c r="B498" t="s">
        <v>503</v>
      </c>
      <c r="C498" t="s">
        <v>10</v>
      </c>
      <c r="D498" t="s">
        <v>11</v>
      </c>
      <c r="E498" t="s">
        <v>12</v>
      </c>
      <c r="F498" t="s">
        <v>13</v>
      </c>
      <c r="G498">
        <v>8</v>
      </c>
      <c r="H498">
        <v>1852</v>
      </c>
      <c r="I498" t="str">
        <f>VLOOKUP(D498,Product_Master!A:D,2,FALSE)</f>
        <v>Chair</v>
      </c>
      <c r="J498" t="str">
        <f>VLOOKUP(D498,Product_Master!A:D,3,FALSE)</f>
        <v>Furniture</v>
      </c>
      <c r="K498">
        <f>VLOOKUP(D498,Product_Master!A:D,4,FALSE)</f>
        <v>150</v>
      </c>
      <c r="L498" t="str">
        <f>VLOOKUP(C498,Customer_Master!A:C,2,FALSE)</f>
        <v>Suresh</v>
      </c>
      <c r="M498" t="str">
        <f>VLOOKUP(C498,Customer_Master!A:C,3,FALSE)</f>
        <v>Consumer</v>
      </c>
      <c r="N498">
        <f>Table1[[#This Row],[Quantity]]*Table1[[#This Row],[Unit_Price]]</f>
        <v>14816</v>
      </c>
      <c r="O498">
        <f>(Table1[[#This Row],[Unit_Price]]-Table1[[#This Row],[Cost_Price]])*Table1[[#This Row],[Quantity]]</f>
        <v>13616</v>
      </c>
      <c r="P498">
        <f t="shared" si="7"/>
        <v>14816</v>
      </c>
      <c r="Q498" t="str">
        <f>TEXT(Table1[[#This Row],[Order_Date]],"mmm-yyyy")</f>
        <v>Mar-2024</v>
      </c>
    </row>
    <row r="499" spans="1:17" x14ac:dyDescent="0.35">
      <c r="A499" t="s">
        <v>808</v>
      </c>
      <c r="B499" t="s">
        <v>60</v>
      </c>
      <c r="C499" t="s">
        <v>30</v>
      </c>
      <c r="D499" t="s">
        <v>16</v>
      </c>
      <c r="E499" t="s">
        <v>12</v>
      </c>
      <c r="F499" t="s">
        <v>23</v>
      </c>
      <c r="G499">
        <v>7</v>
      </c>
      <c r="H499">
        <v>1920</v>
      </c>
      <c r="I499" t="str">
        <f>VLOOKUP(D499,Product_Master!A:D,2,FALSE)</f>
        <v>Printer</v>
      </c>
      <c r="J499" t="str">
        <f>VLOOKUP(D499,Product_Master!A:D,3,FALSE)</f>
        <v>Electronics</v>
      </c>
      <c r="K499">
        <f>VLOOKUP(D499,Product_Master!A:D,4,FALSE)</f>
        <v>1100</v>
      </c>
      <c r="L499" t="str">
        <f>VLOOKUP(C499,Customer_Master!A:C,2,FALSE)</f>
        <v>Infosys</v>
      </c>
      <c r="M499" t="str">
        <f>VLOOKUP(C499,Customer_Master!A:C,3,FALSE)</f>
        <v>Corporate</v>
      </c>
      <c r="N499">
        <f>Table1[[#This Row],[Quantity]]*Table1[[#This Row],[Unit_Price]]</f>
        <v>13440</v>
      </c>
      <c r="O499">
        <f>(Table1[[#This Row],[Unit_Price]]-Table1[[#This Row],[Cost_Price]])*Table1[[#This Row],[Quantity]]</f>
        <v>5740</v>
      </c>
      <c r="P499">
        <f t="shared" si="7"/>
        <v>13440</v>
      </c>
      <c r="Q499" t="str">
        <f>TEXT(Table1[[#This Row],[Order_Date]],"mmm-yyyy")</f>
        <v>Aug-2024</v>
      </c>
    </row>
    <row r="500" spans="1:17" x14ac:dyDescent="0.35">
      <c r="A500" t="s">
        <v>809</v>
      </c>
      <c r="B500" t="s">
        <v>630</v>
      </c>
      <c r="C500" t="s">
        <v>45</v>
      </c>
      <c r="D500" t="s">
        <v>22</v>
      </c>
      <c r="E500" t="s">
        <v>33</v>
      </c>
      <c r="F500" t="s">
        <v>34</v>
      </c>
      <c r="G500">
        <v>2</v>
      </c>
      <c r="H500">
        <v>1276</v>
      </c>
      <c r="I500" t="str">
        <f>VLOOKUP(D500,Product_Master!A:D,2,FALSE)</f>
        <v>Desk</v>
      </c>
      <c r="J500" t="str">
        <f>VLOOKUP(D500,Product_Master!A:D,3,FALSE)</f>
        <v>Furniture</v>
      </c>
      <c r="K500">
        <f>VLOOKUP(D500,Product_Master!A:D,4,FALSE)</f>
        <v>300</v>
      </c>
      <c r="L500" t="str">
        <f>VLOOKUP(C500,Customer_Master!A:C,2,FALSE)</f>
        <v>TCS</v>
      </c>
      <c r="M500" t="str">
        <f>VLOOKUP(C500,Customer_Master!A:C,3,FALSE)</f>
        <v>Corporate</v>
      </c>
      <c r="N500">
        <f>Table1[[#This Row],[Quantity]]*Table1[[#This Row],[Unit_Price]]</f>
        <v>2552</v>
      </c>
      <c r="O500">
        <f>(Table1[[#This Row],[Unit_Price]]-Table1[[#This Row],[Cost_Price]])*Table1[[#This Row],[Quantity]]</f>
        <v>1952</v>
      </c>
      <c r="P500">
        <f t="shared" si="7"/>
        <v>2552</v>
      </c>
      <c r="Q500" t="str">
        <f>TEXT(Table1[[#This Row],[Order_Date]],"mmm-yyyy")</f>
        <v>Jul-2024</v>
      </c>
    </row>
    <row r="501" spans="1:17" x14ac:dyDescent="0.35">
      <c r="A501" t="s">
        <v>810</v>
      </c>
      <c r="B501" t="s">
        <v>576</v>
      </c>
      <c r="C501" t="s">
        <v>10</v>
      </c>
      <c r="D501" t="s">
        <v>26</v>
      </c>
      <c r="E501" t="s">
        <v>33</v>
      </c>
      <c r="F501" t="s">
        <v>34</v>
      </c>
      <c r="G501">
        <v>5</v>
      </c>
      <c r="H501">
        <v>1563</v>
      </c>
      <c r="I501" t="str">
        <f>VLOOKUP(D501,Product_Master!A:D,2,FALSE)</f>
        <v>Laptop</v>
      </c>
      <c r="J501" t="str">
        <f>VLOOKUP(D501,Product_Master!A:D,3,FALSE)</f>
        <v>Electronics</v>
      </c>
      <c r="K501">
        <f>VLOOKUP(D501,Product_Master!A:D,4,FALSE)</f>
        <v>900</v>
      </c>
      <c r="L501" t="str">
        <f>VLOOKUP(C501,Customer_Master!A:C,2,FALSE)</f>
        <v>Suresh</v>
      </c>
      <c r="M501" t="str">
        <f>VLOOKUP(C501,Customer_Master!A:C,3,FALSE)</f>
        <v>Consumer</v>
      </c>
      <c r="N501">
        <f>Table1[[#This Row],[Quantity]]*Table1[[#This Row],[Unit_Price]]</f>
        <v>7815</v>
      </c>
      <c r="O501">
        <f>(Table1[[#This Row],[Unit_Price]]-Table1[[#This Row],[Cost_Price]])*Table1[[#This Row],[Quantity]]</f>
        <v>3315</v>
      </c>
      <c r="P501">
        <f t="shared" si="7"/>
        <v>7815</v>
      </c>
      <c r="Q501" t="str">
        <f>TEXT(Table1[[#This Row],[Order_Date]],"mmm-yyyy")</f>
        <v>Oct-2024</v>
      </c>
    </row>
    <row r="502" spans="1:17" x14ac:dyDescent="0.35">
      <c r="A502" t="s">
        <v>811</v>
      </c>
      <c r="B502" t="s">
        <v>672</v>
      </c>
      <c r="C502" t="s">
        <v>10</v>
      </c>
      <c r="D502" t="s">
        <v>22</v>
      </c>
      <c r="E502" t="s">
        <v>27</v>
      </c>
      <c r="F502" t="s">
        <v>18</v>
      </c>
      <c r="G502">
        <v>10</v>
      </c>
      <c r="H502">
        <v>1878</v>
      </c>
      <c r="I502" t="str">
        <f>VLOOKUP(D502,Product_Master!A:D,2,FALSE)</f>
        <v>Desk</v>
      </c>
      <c r="J502" t="str">
        <f>VLOOKUP(D502,Product_Master!A:D,3,FALSE)</f>
        <v>Furniture</v>
      </c>
      <c r="K502">
        <f>VLOOKUP(D502,Product_Master!A:D,4,FALSE)</f>
        <v>300</v>
      </c>
      <c r="L502" t="str">
        <f>VLOOKUP(C502,Customer_Master!A:C,2,FALSE)</f>
        <v>Suresh</v>
      </c>
      <c r="M502" t="str">
        <f>VLOOKUP(C502,Customer_Master!A:C,3,FALSE)</f>
        <v>Consumer</v>
      </c>
      <c r="N502">
        <f>Table1[[#This Row],[Quantity]]*Table1[[#This Row],[Unit_Price]]</f>
        <v>18780</v>
      </c>
      <c r="O502">
        <f>(Table1[[#This Row],[Unit_Price]]-Table1[[#This Row],[Cost_Price]])*Table1[[#This Row],[Quantity]]</f>
        <v>15780</v>
      </c>
      <c r="P502">
        <f t="shared" si="7"/>
        <v>18780</v>
      </c>
      <c r="Q502" t="str">
        <f>TEXT(Table1[[#This Row],[Order_Date]],"mmm-yyyy")</f>
        <v>Mar-2024</v>
      </c>
    </row>
    <row r="503" spans="1:17" x14ac:dyDescent="0.35">
      <c r="A503" t="s">
        <v>812</v>
      </c>
      <c r="B503" t="s">
        <v>717</v>
      </c>
      <c r="C503" t="s">
        <v>42</v>
      </c>
      <c r="D503" t="s">
        <v>26</v>
      </c>
      <c r="E503" t="s">
        <v>17</v>
      </c>
      <c r="F503" t="s">
        <v>23</v>
      </c>
      <c r="G503">
        <v>4</v>
      </c>
      <c r="H503">
        <v>1170</v>
      </c>
      <c r="I503" t="str">
        <f>VLOOKUP(D503,Product_Master!A:D,2,FALSE)</f>
        <v>Laptop</v>
      </c>
      <c r="J503" t="str">
        <f>VLOOKUP(D503,Product_Master!A:D,3,FALSE)</f>
        <v>Electronics</v>
      </c>
      <c r="K503">
        <f>VLOOKUP(D503,Product_Master!A:D,4,FALSE)</f>
        <v>900</v>
      </c>
      <c r="L503" t="str">
        <f>VLOOKUP(C503,Customer_Master!A:C,2,FALSE)</f>
        <v>Ramesh</v>
      </c>
      <c r="M503" t="str">
        <f>VLOOKUP(C503,Customer_Master!A:C,3,FALSE)</f>
        <v>Consumer</v>
      </c>
      <c r="N503">
        <f>Table1[[#This Row],[Quantity]]*Table1[[#This Row],[Unit_Price]]</f>
        <v>4680</v>
      </c>
      <c r="O503">
        <f>(Table1[[#This Row],[Unit_Price]]-Table1[[#This Row],[Cost_Price]])*Table1[[#This Row],[Quantity]]</f>
        <v>1080</v>
      </c>
      <c r="P503">
        <f t="shared" si="7"/>
        <v>4680</v>
      </c>
      <c r="Q503" t="str">
        <f>TEXT(Table1[[#This Row],[Order_Date]],"mmm-yyyy")</f>
        <v>Sep-2024</v>
      </c>
    </row>
    <row r="504" spans="1:17" x14ac:dyDescent="0.35">
      <c r="A504" t="s">
        <v>813</v>
      </c>
      <c r="B504" t="s">
        <v>814</v>
      </c>
      <c r="C504" t="s">
        <v>30</v>
      </c>
      <c r="D504" t="s">
        <v>37</v>
      </c>
      <c r="E504" t="s">
        <v>33</v>
      </c>
      <c r="F504" t="s">
        <v>18</v>
      </c>
      <c r="G504">
        <v>7</v>
      </c>
      <c r="H504">
        <v>1052</v>
      </c>
      <c r="I504" t="str">
        <f>VLOOKUP(D504,Product_Master!A:D,2,FALSE)</f>
        <v>Mobile</v>
      </c>
      <c r="J504" t="str">
        <f>VLOOKUP(D504,Product_Master!A:D,3,FALSE)</f>
        <v>Electronics</v>
      </c>
      <c r="K504">
        <f>VLOOKUP(D504,Product_Master!A:D,4,FALSE)</f>
        <v>600</v>
      </c>
      <c r="L504" t="str">
        <f>VLOOKUP(C504,Customer_Master!A:C,2,FALSE)</f>
        <v>Infosys</v>
      </c>
      <c r="M504" t="str">
        <f>VLOOKUP(C504,Customer_Master!A:C,3,FALSE)</f>
        <v>Corporate</v>
      </c>
      <c r="N504">
        <f>Table1[[#This Row],[Quantity]]*Table1[[#This Row],[Unit_Price]]</f>
        <v>7364</v>
      </c>
      <c r="O504">
        <f>(Table1[[#This Row],[Unit_Price]]-Table1[[#This Row],[Cost_Price]])*Table1[[#This Row],[Quantity]]</f>
        <v>3164</v>
      </c>
      <c r="P504">
        <f t="shared" si="7"/>
        <v>7364</v>
      </c>
      <c r="Q504" t="str">
        <f>TEXT(Table1[[#This Row],[Order_Date]],"mmm-yyyy")</f>
        <v>Nov-2024</v>
      </c>
    </row>
    <row r="505" spans="1:17" x14ac:dyDescent="0.35">
      <c r="A505" t="s">
        <v>815</v>
      </c>
      <c r="B505" t="s">
        <v>427</v>
      </c>
      <c r="C505" t="s">
        <v>21</v>
      </c>
      <c r="D505" t="s">
        <v>22</v>
      </c>
      <c r="E505" t="s">
        <v>17</v>
      </c>
      <c r="F505" t="s">
        <v>34</v>
      </c>
      <c r="G505">
        <v>8</v>
      </c>
      <c r="H505">
        <v>1304</v>
      </c>
      <c r="I505" t="str">
        <f>VLOOKUP(D505,Product_Master!A:D,2,FALSE)</f>
        <v>Desk</v>
      </c>
      <c r="J505" t="str">
        <f>VLOOKUP(D505,Product_Master!A:D,3,FALSE)</f>
        <v>Furniture</v>
      </c>
      <c r="K505">
        <f>VLOOKUP(D505,Product_Master!A:D,4,FALSE)</f>
        <v>300</v>
      </c>
      <c r="L505" t="str">
        <f>VLOOKUP(C505,Customer_Master!A:C,2,FALSE)</f>
        <v>Reliance</v>
      </c>
      <c r="M505" t="str">
        <f>VLOOKUP(C505,Customer_Master!A:C,3,FALSE)</f>
        <v>Corporate</v>
      </c>
      <c r="N505">
        <f>Table1[[#This Row],[Quantity]]*Table1[[#This Row],[Unit_Price]]</f>
        <v>10432</v>
      </c>
      <c r="O505">
        <f>(Table1[[#This Row],[Unit_Price]]-Table1[[#This Row],[Cost_Price]])*Table1[[#This Row],[Quantity]]</f>
        <v>8032</v>
      </c>
      <c r="P505">
        <f t="shared" si="7"/>
        <v>10432</v>
      </c>
      <c r="Q505" t="str">
        <f>TEXT(Table1[[#This Row],[Order_Date]],"mmm-yyyy")</f>
        <v>Mar-2024</v>
      </c>
    </row>
    <row r="506" spans="1:17" x14ac:dyDescent="0.35">
      <c r="A506" t="s">
        <v>816</v>
      </c>
      <c r="B506" t="s">
        <v>648</v>
      </c>
      <c r="C506" t="s">
        <v>30</v>
      </c>
      <c r="D506" t="s">
        <v>16</v>
      </c>
      <c r="E506" t="s">
        <v>17</v>
      </c>
      <c r="F506" t="s">
        <v>13</v>
      </c>
      <c r="G506">
        <v>3</v>
      </c>
      <c r="H506">
        <v>1382</v>
      </c>
      <c r="I506" t="str">
        <f>VLOOKUP(D506,Product_Master!A:D,2,FALSE)</f>
        <v>Printer</v>
      </c>
      <c r="J506" t="str">
        <f>VLOOKUP(D506,Product_Master!A:D,3,FALSE)</f>
        <v>Electronics</v>
      </c>
      <c r="K506">
        <f>VLOOKUP(D506,Product_Master!A:D,4,FALSE)</f>
        <v>1100</v>
      </c>
      <c r="L506" t="str">
        <f>VLOOKUP(C506,Customer_Master!A:C,2,FALSE)</f>
        <v>Infosys</v>
      </c>
      <c r="M506" t="str">
        <f>VLOOKUP(C506,Customer_Master!A:C,3,FALSE)</f>
        <v>Corporate</v>
      </c>
      <c r="N506">
        <f>Table1[[#This Row],[Quantity]]*Table1[[#This Row],[Unit_Price]]</f>
        <v>4146</v>
      </c>
      <c r="O506">
        <f>(Table1[[#This Row],[Unit_Price]]-Table1[[#This Row],[Cost_Price]])*Table1[[#This Row],[Quantity]]</f>
        <v>846</v>
      </c>
      <c r="P506">
        <f t="shared" si="7"/>
        <v>4146</v>
      </c>
      <c r="Q506" t="str">
        <f>TEXT(Table1[[#This Row],[Order_Date]],"mmm-yyyy")</f>
        <v>May-2024</v>
      </c>
    </row>
    <row r="507" spans="1:17" x14ac:dyDescent="0.35">
      <c r="A507" t="s">
        <v>817</v>
      </c>
      <c r="B507" t="s">
        <v>25</v>
      </c>
      <c r="C507" t="s">
        <v>42</v>
      </c>
      <c r="D507" t="s">
        <v>26</v>
      </c>
      <c r="E507" t="s">
        <v>33</v>
      </c>
      <c r="F507" t="s">
        <v>18</v>
      </c>
      <c r="G507">
        <v>10</v>
      </c>
      <c r="H507">
        <v>1170</v>
      </c>
      <c r="I507" t="str">
        <f>VLOOKUP(D507,Product_Master!A:D,2,FALSE)</f>
        <v>Laptop</v>
      </c>
      <c r="J507" t="str">
        <f>VLOOKUP(D507,Product_Master!A:D,3,FALSE)</f>
        <v>Electronics</v>
      </c>
      <c r="K507">
        <f>VLOOKUP(D507,Product_Master!A:D,4,FALSE)</f>
        <v>900</v>
      </c>
      <c r="L507" t="str">
        <f>VLOOKUP(C507,Customer_Master!A:C,2,FALSE)</f>
        <v>Ramesh</v>
      </c>
      <c r="M507" t="str">
        <f>VLOOKUP(C507,Customer_Master!A:C,3,FALSE)</f>
        <v>Consumer</v>
      </c>
      <c r="N507">
        <f>Table1[[#This Row],[Quantity]]*Table1[[#This Row],[Unit_Price]]</f>
        <v>11700</v>
      </c>
      <c r="O507">
        <f>(Table1[[#This Row],[Unit_Price]]-Table1[[#This Row],[Cost_Price]])*Table1[[#This Row],[Quantity]]</f>
        <v>2700</v>
      </c>
      <c r="P507">
        <f t="shared" si="7"/>
        <v>11700</v>
      </c>
      <c r="Q507" t="str">
        <f>TEXT(Table1[[#This Row],[Order_Date]],"mmm-yyyy")</f>
        <v>Oct-2024</v>
      </c>
    </row>
    <row r="508" spans="1:17" x14ac:dyDescent="0.35">
      <c r="A508" t="s">
        <v>818</v>
      </c>
      <c r="B508" t="s">
        <v>819</v>
      </c>
      <c r="C508" t="s">
        <v>45</v>
      </c>
      <c r="D508" t="s">
        <v>26</v>
      </c>
      <c r="E508" t="s">
        <v>27</v>
      </c>
      <c r="F508" t="s">
        <v>13</v>
      </c>
      <c r="G508">
        <v>1</v>
      </c>
      <c r="H508">
        <v>1665</v>
      </c>
      <c r="I508" t="str">
        <f>VLOOKUP(D508,Product_Master!A:D,2,FALSE)</f>
        <v>Laptop</v>
      </c>
      <c r="J508" t="str">
        <f>VLOOKUP(D508,Product_Master!A:D,3,FALSE)</f>
        <v>Electronics</v>
      </c>
      <c r="K508">
        <f>VLOOKUP(D508,Product_Master!A:D,4,FALSE)</f>
        <v>900</v>
      </c>
      <c r="L508" t="str">
        <f>VLOOKUP(C508,Customer_Master!A:C,2,FALSE)</f>
        <v>TCS</v>
      </c>
      <c r="M508" t="str">
        <f>VLOOKUP(C508,Customer_Master!A:C,3,FALSE)</f>
        <v>Corporate</v>
      </c>
      <c r="N508">
        <f>Table1[[#This Row],[Quantity]]*Table1[[#This Row],[Unit_Price]]</f>
        <v>1665</v>
      </c>
      <c r="O508">
        <f>(Table1[[#This Row],[Unit_Price]]-Table1[[#This Row],[Cost_Price]])*Table1[[#This Row],[Quantity]]</f>
        <v>765</v>
      </c>
      <c r="P508">
        <f t="shared" si="7"/>
        <v>1665</v>
      </c>
      <c r="Q508" t="str">
        <f>TEXT(Table1[[#This Row],[Order_Date]],"mmm-yyyy")</f>
        <v>Aug-2024</v>
      </c>
    </row>
    <row r="509" spans="1:17" x14ac:dyDescent="0.35">
      <c r="A509" t="s">
        <v>820</v>
      </c>
      <c r="B509" t="s">
        <v>468</v>
      </c>
      <c r="C509" t="s">
        <v>21</v>
      </c>
      <c r="D509" t="s">
        <v>16</v>
      </c>
      <c r="E509" t="s">
        <v>33</v>
      </c>
      <c r="F509" t="s">
        <v>13</v>
      </c>
      <c r="G509">
        <v>1</v>
      </c>
      <c r="H509">
        <v>1281</v>
      </c>
      <c r="I509" t="str">
        <f>VLOOKUP(D509,Product_Master!A:D,2,FALSE)</f>
        <v>Printer</v>
      </c>
      <c r="J509" t="str">
        <f>VLOOKUP(D509,Product_Master!A:D,3,FALSE)</f>
        <v>Electronics</v>
      </c>
      <c r="K509">
        <f>VLOOKUP(D509,Product_Master!A:D,4,FALSE)</f>
        <v>1100</v>
      </c>
      <c r="L509" t="str">
        <f>VLOOKUP(C509,Customer_Master!A:C,2,FALSE)</f>
        <v>Reliance</v>
      </c>
      <c r="M509" t="str">
        <f>VLOOKUP(C509,Customer_Master!A:C,3,FALSE)</f>
        <v>Corporate</v>
      </c>
      <c r="N509">
        <f>Table1[[#This Row],[Quantity]]*Table1[[#This Row],[Unit_Price]]</f>
        <v>1281</v>
      </c>
      <c r="O509">
        <f>(Table1[[#This Row],[Unit_Price]]-Table1[[#This Row],[Cost_Price]])*Table1[[#This Row],[Quantity]]</f>
        <v>181</v>
      </c>
      <c r="P509">
        <f t="shared" si="7"/>
        <v>1281</v>
      </c>
      <c r="Q509" t="str">
        <f>TEXT(Table1[[#This Row],[Order_Date]],"mmm-yyyy")</f>
        <v>Mar-2024</v>
      </c>
    </row>
    <row r="510" spans="1:17" x14ac:dyDescent="0.35">
      <c r="A510" t="s">
        <v>821</v>
      </c>
      <c r="B510" t="s">
        <v>391</v>
      </c>
      <c r="C510" t="s">
        <v>21</v>
      </c>
      <c r="D510" t="s">
        <v>37</v>
      </c>
      <c r="E510" t="s">
        <v>33</v>
      </c>
      <c r="F510" t="s">
        <v>23</v>
      </c>
      <c r="G510">
        <v>10</v>
      </c>
      <c r="H510">
        <v>1820</v>
      </c>
      <c r="I510" t="str">
        <f>VLOOKUP(D510,Product_Master!A:D,2,FALSE)</f>
        <v>Mobile</v>
      </c>
      <c r="J510" t="str">
        <f>VLOOKUP(D510,Product_Master!A:D,3,FALSE)</f>
        <v>Electronics</v>
      </c>
      <c r="K510">
        <f>VLOOKUP(D510,Product_Master!A:D,4,FALSE)</f>
        <v>600</v>
      </c>
      <c r="L510" t="str">
        <f>VLOOKUP(C510,Customer_Master!A:C,2,FALSE)</f>
        <v>Reliance</v>
      </c>
      <c r="M510" t="str">
        <f>VLOOKUP(C510,Customer_Master!A:C,3,FALSE)</f>
        <v>Corporate</v>
      </c>
      <c r="N510">
        <f>Table1[[#This Row],[Quantity]]*Table1[[#This Row],[Unit_Price]]</f>
        <v>18200</v>
      </c>
      <c r="O510">
        <f>(Table1[[#This Row],[Unit_Price]]-Table1[[#This Row],[Cost_Price]])*Table1[[#This Row],[Quantity]]</f>
        <v>12200</v>
      </c>
      <c r="P510">
        <f t="shared" si="7"/>
        <v>18200</v>
      </c>
      <c r="Q510" t="str">
        <f>TEXT(Table1[[#This Row],[Order_Date]],"mmm-yyyy")</f>
        <v>Apr-2024</v>
      </c>
    </row>
    <row r="511" spans="1:17" x14ac:dyDescent="0.35">
      <c r="A511" t="s">
        <v>822</v>
      </c>
      <c r="B511" t="s">
        <v>587</v>
      </c>
      <c r="C511" t="s">
        <v>45</v>
      </c>
      <c r="D511" t="s">
        <v>16</v>
      </c>
      <c r="E511" t="s">
        <v>17</v>
      </c>
      <c r="F511" t="s">
        <v>34</v>
      </c>
      <c r="G511">
        <v>3</v>
      </c>
      <c r="H511">
        <v>1810</v>
      </c>
      <c r="I511" t="str">
        <f>VLOOKUP(D511,Product_Master!A:D,2,FALSE)</f>
        <v>Printer</v>
      </c>
      <c r="J511" t="str">
        <f>VLOOKUP(D511,Product_Master!A:D,3,FALSE)</f>
        <v>Electronics</v>
      </c>
      <c r="K511">
        <f>VLOOKUP(D511,Product_Master!A:D,4,FALSE)</f>
        <v>1100</v>
      </c>
      <c r="L511" t="str">
        <f>VLOOKUP(C511,Customer_Master!A:C,2,FALSE)</f>
        <v>TCS</v>
      </c>
      <c r="M511" t="str">
        <f>VLOOKUP(C511,Customer_Master!A:C,3,FALSE)</f>
        <v>Corporate</v>
      </c>
      <c r="N511">
        <f>Table1[[#This Row],[Quantity]]*Table1[[#This Row],[Unit_Price]]</f>
        <v>5430</v>
      </c>
      <c r="O511">
        <f>(Table1[[#This Row],[Unit_Price]]-Table1[[#This Row],[Cost_Price]])*Table1[[#This Row],[Quantity]]</f>
        <v>2130</v>
      </c>
      <c r="P511">
        <f t="shared" si="7"/>
        <v>5430</v>
      </c>
      <c r="Q511" t="str">
        <f>TEXT(Table1[[#This Row],[Order_Date]],"mmm-yyyy")</f>
        <v>Aug-2024</v>
      </c>
    </row>
    <row r="512" spans="1:17" x14ac:dyDescent="0.35">
      <c r="A512" t="s">
        <v>823</v>
      </c>
      <c r="B512" t="s">
        <v>501</v>
      </c>
      <c r="C512" t="s">
        <v>42</v>
      </c>
      <c r="D512" t="s">
        <v>22</v>
      </c>
      <c r="E512" t="s">
        <v>33</v>
      </c>
      <c r="F512" t="s">
        <v>18</v>
      </c>
      <c r="G512">
        <v>10</v>
      </c>
      <c r="H512">
        <v>1560</v>
      </c>
      <c r="I512" t="str">
        <f>VLOOKUP(D512,Product_Master!A:D,2,FALSE)</f>
        <v>Desk</v>
      </c>
      <c r="J512" t="str">
        <f>VLOOKUP(D512,Product_Master!A:D,3,FALSE)</f>
        <v>Furniture</v>
      </c>
      <c r="K512">
        <f>VLOOKUP(D512,Product_Master!A:D,4,FALSE)</f>
        <v>300</v>
      </c>
      <c r="L512" t="str">
        <f>VLOOKUP(C512,Customer_Master!A:C,2,FALSE)</f>
        <v>Ramesh</v>
      </c>
      <c r="M512" t="str">
        <f>VLOOKUP(C512,Customer_Master!A:C,3,FALSE)</f>
        <v>Consumer</v>
      </c>
      <c r="N512">
        <f>Table1[[#This Row],[Quantity]]*Table1[[#This Row],[Unit_Price]]</f>
        <v>15600</v>
      </c>
      <c r="O512">
        <f>(Table1[[#This Row],[Unit_Price]]-Table1[[#This Row],[Cost_Price]])*Table1[[#This Row],[Quantity]]</f>
        <v>12600</v>
      </c>
      <c r="P512">
        <f t="shared" si="7"/>
        <v>15600</v>
      </c>
      <c r="Q512" t="str">
        <f>TEXT(Table1[[#This Row],[Order_Date]],"mmm-yyyy")</f>
        <v>Jun-2024</v>
      </c>
    </row>
    <row r="513" spans="1:17" x14ac:dyDescent="0.35">
      <c r="A513" t="s">
        <v>824</v>
      </c>
      <c r="B513" t="s">
        <v>825</v>
      </c>
      <c r="C513" t="s">
        <v>30</v>
      </c>
      <c r="D513" t="s">
        <v>26</v>
      </c>
      <c r="E513" t="s">
        <v>33</v>
      </c>
      <c r="F513" t="s">
        <v>34</v>
      </c>
      <c r="G513">
        <v>2</v>
      </c>
      <c r="H513">
        <v>1642</v>
      </c>
      <c r="I513" t="str">
        <f>VLOOKUP(D513,Product_Master!A:D,2,FALSE)</f>
        <v>Laptop</v>
      </c>
      <c r="J513" t="str">
        <f>VLOOKUP(D513,Product_Master!A:D,3,FALSE)</f>
        <v>Electronics</v>
      </c>
      <c r="K513">
        <f>VLOOKUP(D513,Product_Master!A:D,4,FALSE)</f>
        <v>900</v>
      </c>
      <c r="L513" t="str">
        <f>VLOOKUP(C513,Customer_Master!A:C,2,FALSE)</f>
        <v>Infosys</v>
      </c>
      <c r="M513" t="str">
        <f>VLOOKUP(C513,Customer_Master!A:C,3,FALSE)</f>
        <v>Corporate</v>
      </c>
      <c r="N513">
        <f>Table1[[#This Row],[Quantity]]*Table1[[#This Row],[Unit_Price]]</f>
        <v>3284</v>
      </c>
      <c r="O513">
        <f>(Table1[[#This Row],[Unit_Price]]-Table1[[#This Row],[Cost_Price]])*Table1[[#This Row],[Quantity]]</f>
        <v>1484</v>
      </c>
      <c r="P513">
        <f t="shared" si="7"/>
        <v>3284</v>
      </c>
      <c r="Q513" t="str">
        <f>TEXT(Table1[[#This Row],[Order_Date]],"mmm-yyyy")</f>
        <v>Jun-2024</v>
      </c>
    </row>
    <row r="514" spans="1:17" x14ac:dyDescent="0.35">
      <c r="A514" t="s">
        <v>826</v>
      </c>
      <c r="B514" t="s">
        <v>490</v>
      </c>
      <c r="C514" t="s">
        <v>30</v>
      </c>
      <c r="D514" t="s">
        <v>11</v>
      </c>
      <c r="E514" t="s">
        <v>12</v>
      </c>
      <c r="F514" t="s">
        <v>18</v>
      </c>
      <c r="G514">
        <v>8</v>
      </c>
      <c r="H514">
        <v>1132</v>
      </c>
      <c r="I514" t="str">
        <f>VLOOKUP(D514,Product_Master!A:D,2,FALSE)</f>
        <v>Chair</v>
      </c>
      <c r="J514" t="str">
        <f>VLOOKUP(D514,Product_Master!A:D,3,FALSE)</f>
        <v>Furniture</v>
      </c>
      <c r="K514">
        <f>VLOOKUP(D514,Product_Master!A:D,4,FALSE)</f>
        <v>150</v>
      </c>
      <c r="L514" t="str">
        <f>VLOOKUP(C514,Customer_Master!A:C,2,FALSE)</f>
        <v>Infosys</v>
      </c>
      <c r="M514" t="str">
        <f>VLOOKUP(C514,Customer_Master!A:C,3,FALSE)</f>
        <v>Corporate</v>
      </c>
      <c r="N514">
        <f>Table1[[#This Row],[Quantity]]*Table1[[#This Row],[Unit_Price]]</f>
        <v>9056</v>
      </c>
      <c r="O514">
        <f>(Table1[[#This Row],[Unit_Price]]-Table1[[#This Row],[Cost_Price]])*Table1[[#This Row],[Quantity]]</f>
        <v>7856</v>
      </c>
      <c r="P514">
        <f t="shared" ref="P514:P577" si="8">VALUE(N514)</f>
        <v>9056</v>
      </c>
      <c r="Q514" t="str">
        <f>TEXT(Table1[[#This Row],[Order_Date]],"mmm-yyyy")</f>
        <v>Aug-2024</v>
      </c>
    </row>
    <row r="515" spans="1:17" x14ac:dyDescent="0.35">
      <c r="A515" t="s">
        <v>827</v>
      </c>
      <c r="B515" t="s">
        <v>346</v>
      </c>
      <c r="C515" t="s">
        <v>10</v>
      </c>
      <c r="D515" t="s">
        <v>26</v>
      </c>
      <c r="E515" t="s">
        <v>12</v>
      </c>
      <c r="F515" t="s">
        <v>23</v>
      </c>
      <c r="G515">
        <v>3</v>
      </c>
      <c r="H515">
        <v>1711</v>
      </c>
      <c r="I515" t="str">
        <f>VLOOKUP(D515,Product_Master!A:D,2,FALSE)</f>
        <v>Laptop</v>
      </c>
      <c r="J515" t="str">
        <f>VLOOKUP(D515,Product_Master!A:D,3,FALSE)</f>
        <v>Electronics</v>
      </c>
      <c r="K515">
        <f>VLOOKUP(D515,Product_Master!A:D,4,FALSE)</f>
        <v>900</v>
      </c>
      <c r="L515" t="str">
        <f>VLOOKUP(C515,Customer_Master!A:C,2,FALSE)</f>
        <v>Suresh</v>
      </c>
      <c r="M515" t="str">
        <f>VLOOKUP(C515,Customer_Master!A:C,3,FALSE)</f>
        <v>Consumer</v>
      </c>
      <c r="N515">
        <f>Table1[[#This Row],[Quantity]]*Table1[[#This Row],[Unit_Price]]</f>
        <v>5133</v>
      </c>
      <c r="O515">
        <f>(Table1[[#This Row],[Unit_Price]]-Table1[[#This Row],[Cost_Price]])*Table1[[#This Row],[Quantity]]</f>
        <v>2433</v>
      </c>
      <c r="P515">
        <f t="shared" si="8"/>
        <v>5133</v>
      </c>
      <c r="Q515" t="str">
        <f>TEXT(Table1[[#This Row],[Order_Date]],"mmm-yyyy")</f>
        <v>Mar-2024</v>
      </c>
    </row>
    <row r="516" spans="1:17" x14ac:dyDescent="0.35">
      <c r="A516" t="s">
        <v>828</v>
      </c>
      <c r="B516" t="s">
        <v>693</v>
      </c>
      <c r="C516" t="s">
        <v>10</v>
      </c>
      <c r="D516" t="s">
        <v>22</v>
      </c>
      <c r="E516" t="s">
        <v>17</v>
      </c>
      <c r="F516" t="s">
        <v>13</v>
      </c>
      <c r="G516">
        <v>4</v>
      </c>
      <c r="H516">
        <v>1111</v>
      </c>
      <c r="I516" t="str">
        <f>VLOOKUP(D516,Product_Master!A:D,2,FALSE)</f>
        <v>Desk</v>
      </c>
      <c r="J516" t="str">
        <f>VLOOKUP(D516,Product_Master!A:D,3,FALSE)</f>
        <v>Furniture</v>
      </c>
      <c r="K516">
        <f>VLOOKUP(D516,Product_Master!A:D,4,FALSE)</f>
        <v>300</v>
      </c>
      <c r="L516" t="str">
        <f>VLOOKUP(C516,Customer_Master!A:C,2,FALSE)</f>
        <v>Suresh</v>
      </c>
      <c r="M516" t="str">
        <f>VLOOKUP(C516,Customer_Master!A:C,3,FALSE)</f>
        <v>Consumer</v>
      </c>
      <c r="N516">
        <f>Table1[[#This Row],[Quantity]]*Table1[[#This Row],[Unit_Price]]</f>
        <v>4444</v>
      </c>
      <c r="O516">
        <f>(Table1[[#This Row],[Unit_Price]]-Table1[[#This Row],[Cost_Price]])*Table1[[#This Row],[Quantity]]</f>
        <v>3244</v>
      </c>
      <c r="P516">
        <f t="shared" si="8"/>
        <v>4444</v>
      </c>
      <c r="Q516" t="str">
        <f>TEXT(Table1[[#This Row],[Order_Date]],"mmm-yyyy")</f>
        <v>May-2024</v>
      </c>
    </row>
    <row r="517" spans="1:17" x14ac:dyDescent="0.35">
      <c r="A517" t="s">
        <v>829</v>
      </c>
      <c r="B517" t="s">
        <v>228</v>
      </c>
      <c r="C517" t="s">
        <v>42</v>
      </c>
      <c r="D517" t="s">
        <v>26</v>
      </c>
      <c r="E517" t="s">
        <v>12</v>
      </c>
      <c r="F517" t="s">
        <v>34</v>
      </c>
      <c r="G517">
        <v>1</v>
      </c>
      <c r="H517">
        <v>1257</v>
      </c>
      <c r="I517" t="str">
        <f>VLOOKUP(D517,Product_Master!A:D,2,FALSE)</f>
        <v>Laptop</v>
      </c>
      <c r="J517" t="str">
        <f>VLOOKUP(D517,Product_Master!A:D,3,FALSE)</f>
        <v>Electronics</v>
      </c>
      <c r="K517">
        <f>VLOOKUP(D517,Product_Master!A:D,4,FALSE)</f>
        <v>900</v>
      </c>
      <c r="L517" t="str">
        <f>VLOOKUP(C517,Customer_Master!A:C,2,FALSE)</f>
        <v>Ramesh</v>
      </c>
      <c r="M517" t="str">
        <f>VLOOKUP(C517,Customer_Master!A:C,3,FALSE)</f>
        <v>Consumer</v>
      </c>
      <c r="N517">
        <f>Table1[[#This Row],[Quantity]]*Table1[[#This Row],[Unit_Price]]</f>
        <v>1257</v>
      </c>
      <c r="O517">
        <f>(Table1[[#This Row],[Unit_Price]]-Table1[[#This Row],[Cost_Price]])*Table1[[#This Row],[Quantity]]</f>
        <v>357</v>
      </c>
      <c r="P517">
        <f t="shared" si="8"/>
        <v>1257</v>
      </c>
      <c r="Q517" t="str">
        <f>TEXT(Table1[[#This Row],[Order_Date]],"mmm-yyyy")</f>
        <v>Jul-2024</v>
      </c>
    </row>
    <row r="518" spans="1:17" x14ac:dyDescent="0.35">
      <c r="A518" t="s">
        <v>830</v>
      </c>
      <c r="B518" t="s">
        <v>750</v>
      </c>
      <c r="C518" t="s">
        <v>21</v>
      </c>
      <c r="D518" t="s">
        <v>37</v>
      </c>
      <c r="E518" t="s">
        <v>27</v>
      </c>
      <c r="F518" t="s">
        <v>23</v>
      </c>
      <c r="G518">
        <v>9</v>
      </c>
      <c r="H518">
        <v>1542</v>
      </c>
      <c r="I518" t="str">
        <f>VLOOKUP(D518,Product_Master!A:D,2,FALSE)</f>
        <v>Mobile</v>
      </c>
      <c r="J518" t="str">
        <f>VLOOKUP(D518,Product_Master!A:D,3,FALSE)</f>
        <v>Electronics</v>
      </c>
      <c r="K518">
        <f>VLOOKUP(D518,Product_Master!A:D,4,FALSE)</f>
        <v>600</v>
      </c>
      <c r="L518" t="str">
        <f>VLOOKUP(C518,Customer_Master!A:C,2,FALSE)</f>
        <v>Reliance</v>
      </c>
      <c r="M518" t="str">
        <f>VLOOKUP(C518,Customer_Master!A:C,3,FALSE)</f>
        <v>Corporate</v>
      </c>
      <c r="N518">
        <f>Table1[[#This Row],[Quantity]]*Table1[[#This Row],[Unit_Price]]</f>
        <v>13878</v>
      </c>
      <c r="O518">
        <f>(Table1[[#This Row],[Unit_Price]]-Table1[[#This Row],[Cost_Price]])*Table1[[#This Row],[Quantity]]</f>
        <v>8478</v>
      </c>
      <c r="P518">
        <f t="shared" si="8"/>
        <v>13878</v>
      </c>
      <c r="Q518" t="str">
        <f>TEXT(Table1[[#This Row],[Order_Date]],"mmm-yyyy")</f>
        <v>Apr-2024</v>
      </c>
    </row>
    <row r="519" spans="1:17" x14ac:dyDescent="0.35">
      <c r="A519" t="s">
        <v>831</v>
      </c>
      <c r="B519" t="s">
        <v>187</v>
      </c>
      <c r="C519" t="s">
        <v>42</v>
      </c>
      <c r="D519" t="s">
        <v>11</v>
      </c>
      <c r="E519" t="s">
        <v>27</v>
      </c>
      <c r="F519" t="s">
        <v>34</v>
      </c>
      <c r="G519">
        <v>1</v>
      </c>
      <c r="H519">
        <v>1645</v>
      </c>
      <c r="I519" t="str">
        <f>VLOOKUP(D519,Product_Master!A:D,2,FALSE)</f>
        <v>Chair</v>
      </c>
      <c r="J519" t="str">
        <f>VLOOKUP(D519,Product_Master!A:D,3,FALSE)</f>
        <v>Furniture</v>
      </c>
      <c r="K519">
        <f>VLOOKUP(D519,Product_Master!A:D,4,FALSE)</f>
        <v>150</v>
      </c>
      <c r="L519" t="str">
        <f>VLOOKUP(C519,Customer_Master!A:C,2,FALSE)</f>
        <v>Ramesh</v>
      </c>
      <c r="M519" t="str">
        <f>VLOOKUP(C519,Customer_Master!A:C,3,FALSE)</f>
        <v>Consumer</v>
      </c>
      <c r="N519">
        <f>Table1[[#This Row],[Quantity]]*Table1[[#This Row],[Unit_Price]]</f>
        <v>1645</v>
      </c>
      <c r="O519">
        <f>(Table1[[#This Row],[Unit_Price]]-Table1[[#This Row],[Cost_Price]])*Table1[[#This Row],[Quantity]]</f>
        <v>1495</v>
      </c>
      <c r="P519">
        <f t="shared" si="8"/>
        <v>1645</v>
      </c>
      <c r="Q519" t="str">
        <f>TEXT(Table1[[#This Row],[Order_Date]],"mmm-yyyy")</f>
        <v>Feb-2024</v>
      </c>
    </row>
    <row r="520" spans="1:17" x14ac:dyDescent="0.35">
      <c r="A520" t="s">
        <v>832</v>
      </c>
      <c r="B520" t="s">
        <v>833</v>
      </c>
      <c r="C520" t="s">
        <v>21</v>
      </c>
      <c r="D520" t="s">
        <v>16</v>
      </c>
      <c r="E520" t="s">
        <v>12</v>
      </c>
      <c r="F520" t="s">
        <v>13</v>
      </c>
      <c r="G520">
        <v>7</v>
      </c>
      <c r="H520">
        <v>975</v>
      </c>
      <c r="I520" t="str">
        <f>VLOOKUP(D520,Product_Master!A:D,2,FALSE)</f>
        <v>Printer</v>
      </c>
      <c r="J520" t="str">
        <f>VLOOKUP(D520,Product_Master!A:D,3,FALSE)</f>
        <v>Electronics</v>
      </c>
      <c r="K520">
        <f>VLOOKUP(D520,Product_Master!A:D,4,FALSE)</f>
        <v>1100</v>
      </c>
      <c r="L520" t="str">
        <f>VLOOKUP(C520,Customer_Master!A:C,2,FALSE)</f>
        <v>Reliance</v>
      </c>
      <c r="M520" t="str">
        <f>VLOOKUP(C520,Customer_Master!A:C,3,FALSE)</f>
        <v>Corporate</v>
      </c>
      <c r="N520">
        <f>Table1[[#This Row],[Quantity]]*Table1[[#This Row],[Unit_Price]]</f>
        <v>6825</v>
      </c>
      <c r="O520">
        <f>(Table1[[#This Row],[Unit_Price]]-Table1[[#This Row],[Cost_Price]])*Table1[[#This Row],[Quantity]]</f>
        <v>-875</v>
      </c>
      <c r="P520">
        <f t="shared" si="8"/>
        <v>6825</v>
      </c>
      <c r="Q520" t="str">
        <f>TEXT(Table1[[#This Row],[Order_Date]],"mmm-yyyy")</f>
        <v>Feb-2024</v>
      </c>
    </row>
    <row r="521" spans="1:17" x14ac:dyDescent="0.35">
      <c r="A521" t="s">
        <v>834</v>
      </c>
      <c r="B521" t="s">
        <v>51</v>
      </c>
      <c r="C521" t="s">
        <v>42</v>
      </c>
      <c r="D521" t="s">
        <v>26</v>
      </c>
      <c r="E521" t="s">
        <v>12</v>
      </c>
      <c r="F521" t="s">
        <v>34</v>
      </c>
      <c r="G521">
        <v>2</v>
      </c>
      <c r="H521">
        <v>1773</v>
      </c>
      <c r="I521" t="str">
        <f>VLOOKUP(D521,Product_Master!A:D,2,FALSE)</f>
        <v>Laptop</v>
      </c>
      <c r="J521" t="str">
        <f>VLOOKUP(D521,Product_Master!A:D,3,FALSE)</f>
        <v>Electronics</v>
      </c>
      <c r="K521">
        <f>VLOOKUP(D521,Product_Master!A:D,4,FALSE)</f>
        <v>900</v>
      </c>
      <c r="L521" t="str">
        <f>VLOOKUP(C521,Customer_Master!A:C,2,FALSE)</f>
        <v>Ramesh</v>
      </c>
      <c r="M521" t="str">
        <f>VLOOKUP(C521,Customer_Master!A:C,3,FALSE)</f>
        <v>Consumer</v>
      </c>
      <c r="N521">
        <f>Table1[[#This Row],[Quantity]]*Table1[[#This Row],[Unit_Price]]</f>
        <v>3546</v>
      </c>
      <c r="O521">
        <f>(Table1[[#This Row],[Unit_Price]]-Table1[[#This Row],[Cost_Price]])*Table1[[#This Row],[Quantity]]</f>
        <v>1746</v>
      </c>
      <c r="P521">
        <f t="shared" si="8"/>
        <v>3546</v>
      </c>
      <c r="Q521" t="str">
        <f>TEXT(Table1[[#This Row],[Order_Date]],"mmm-yyyy")</f>
        <v>Aug-2024</v>
      </c>
    </row>
    <row r="522" spans="1:17" x14ac:dyDescent="0.35">
      <c r="A522" t="s">
        <v>835</v>
      </c>
      <c r="B522" t="s">
        <v>711</v>
      </c>
      <c r="C522" t="s">
        <v>10</v>
      </c>
      <c r="D522" t="s">
        <v>26</v>
      </c>
      <c r="E522" t="s">
        <v>12</v>
      </c>
      <c r="F522" t="s">
        <v>23</v>
      </c>
      <c r="G522">
        <v>10</v>
      </c>
      <c r="H522">
        <v>1289</v>
      </c>
      <c r="I522" t="str">
        <f>VLOOKUP(D522,Product_Master!A:D,2,FALSE)</f>
        <v>Laptop</v>
      </c>
      <c r="J522" t="str">
        <f>VLOOKUP(D522,Product_Master!A:D,3,FALSE)</f>
        <v>Electronics</v>
      </c>
      <c r="K522">
        <f>VLOOKUP(D522,Product_Master!A:D,4,FALSE)</f>
        <v>900</v>
      </c>
      <c r="L522" t="str">
        <f>VLOOKUP(C522,Customer_Master!A:C,2,FALSE)</f>
        <v>Suresh</v>
      </c>
      <c r="M522" t="str">
        <f>VLOOKUP(C522,Customer_Master!A:C,3,FALSE)</f>
        <v>Consumer</v>
      </c>
      <c r="N522">
        <f>Table1[[#This Row],[Quantity]]*Table1[[#This Row],[Unit_Price]]</f>
        <v>12890</v>
      </c>
      <c r="O522">
        <f>(Table1[[#This Row],[Unit_Price]]-Table1[[#This Row],[Cost_Price]])*Table1[[#This Row],[Quantity]]</f>
        <v>3890</v>
      </c>
      <c r="P522">
        <f t="shared" si="8"/>
        <v>12890</v>
      </c>
      <c r="Q522" t="str">
        <f>TEXT(Table1[[#This Row],[Order_Date]],"mmm-yyyy")</f>
        <v>Apr-2024</v>
      </c>
    </row>
    <row r="523" spans="1:17" x14ac:dyDescent="0.35">
      <c r="A523" t="s">
        <v>836</v>
      </c>
      <c r="B523" t="s">
        <v>376</v>
      </c>
      <c r="C523" t="s">
        <v>21</v>
      </c>
      <c r="D523" t="s">
        <v>26</v>
      </c>
      <c r="E523" t="s">
        <v>12</v>
      </c>
      <c r="F523" t="s">
        <v>23</v>
      </c>
      <c r="G523">
        <v>4</v>
      </c>
      <c r="H523">
        <v>1421</v>
      </c>
      <c r="I523" t="str">
        <f>VLOOKUP(D523,Product_Master!A:D,2,FALSE)</f>
        <v>Laptop</v>
      </c>
      <c r="J523" t="str">
        <f>VLOOKUP(D523,Product_Master!A:D,3,FALSE)</f>
        <v>Electronics</v>
      </c>
      <c r="K523">
        <f>VLOOKUP(D523,Product_Master!A:D,4,FALSE)</f>
        <v>900</v>
      </c>
      <c r="L523" t="str">
        <f>VLOOKUP(C523,Customer_Master!A:C,2,FALSE)</f>
        <v>Reliance</v>
      </c>
      <c r="M523" t="str">
        <f>VLOOKUP(C523,Customer_Master!A:C,3,FALSE)</f>
        <v>Corporate</v>
      </c>
      <c r="N523">
        <f>Table1[[#This Row],[Quantity]]*Table1[[#This Row],[Unit_Price]]</f>
        <v>5684</v>
      </c>
      <c r="O523">
        <f>(Table1[[#This Row],[Unit_Price]]-Table1[[#This Row],[Cost_Price]])*Table1[[#This Row],[Quantity]]</f>
        <v>2084</v>
      </c>
      <c r="P523">
        <f t="shared" si="8"/>
        <v>5684</v>
      </c>
      <c r="Q523" t="str">
        <f>TEXT(Table1[[#This Row],[Order_Date]],"mmm-yyyy")</f>
        <v>May-2024</v>
      </c>
    </row>
    <row r="524" spans="1:17" x14ac:dyDescent="0.35">
      <c r="A524" t="s">
        <v>837</v>
      </c>
      <c r="B524" t="s">
        <v>425</v>
      </c>
      <c r="C524" t="s">
        <v>42</v>
      </c>
      <c r="D524" t="s">
        <v>26</v>
      </c>
      <c r="E524" t="s">
        <v>12</v>
      </c>
      <c r="F524" t="s">
        <v>18</v>
      </c>
      <c r="G524">
        <v>8</v>
      </c>
      <c r="H524">
        <v>984</v>
      </c>
      <c r="I524" t="str">
        <f>VLOOKUP(D524,Product_Master!A:D,2,FALSE)</f>
        <v>Laptop</v>
      </c>
      <c r="J524" t="str">
        <f>VLOOKUP(D524,Product_Master!A:D,3,FALSE)</f>
        <v>Electronics</v>
      </c>
      <c r="K524">
        <f>VLOOKUP(D524,Product_Master!A:D,4,FALSE)</f>
        <v>900</v>
      </c>
      <c r="L524" t="str">
        <f>VLOOKUP(C524,Customer_Master!A:C,2,FALSE)</f>
        <v>Ramesh</v>
      </c>
      <c r="M524" t="str">
        <f>VLOOKUP(C524,Customer_Master!A:C,3,FALSE)</f>
        <v>Consumer</v>
      </c>
      <c r="N524">
        <f>Table1[[#This Row],[Quantity]]*Table1[[#This Row],[Unit_Price]]</f>
        <v>7872</v>
      </c>
      <c r="O524">
        <f>(Table1[[#This Row],[Unit_Price]]-Table1[[#This Row],[Cost_Price]])*Table1[[#This Row],[Quantity]]</f>
        <v>672</v>
      </c>
      <c r="P524">
        <f t="shared" si="8"/>
        <v>7872</v>
      </c>
      <c r="Q524" t="str">
        <f>TEXT(Table1[[#This Row],[Order_Date]],"mmm-yyyy")</f>
        <v>Sep-2024</v>
      </c>
    </row>
    <row r="525" spans="1:17" x14ac:dyDescent="0.35">
      <c r="A525" t="s">
        <v>838</v>
      </c>
      <c r="B525" t="s">
        <v>380</v>
      </c>
      <c r="C525" t="s">
        <v>10</v>
      </c>
      <c r="D525" t="s">
        <v>26</v>
      </c>
      <c r="E525" t="s">
        <v>12</v>
      </c>
      <c r="F525" t="s">
        <v>23</v>
      </c>
      <c r="G525">
        <v>4</v>
      </c>
      <c r="H525">
        <v>1655</v>
      </c>
      <c r="I525" t="str">
        <f>VLOOKUP(D525,Product_Master!A:D,2,FALSE)</f>
        <v>Laptop</v>
      </c>
      <c r="J525" t="str">
        <f>VLOOKUP(D525,Product_Master!A:D,3,FALSE)</f>
        <v>Electronics</v>
      </c>
      <c r="K525">
        <f>VLOOKUP(D525,Product_Master!A:D,4,FALSE)</f>
        <v>900</v>
      </c>
      <c r="L525" t="str">
        <f>VLOOKUP(C525,Customer_Master!A:C,2,FALSE)</f>
        <v>Suresh</v>
      </c>
      <c r="M525" t="str">
        <f>VLOOKUP(C525,Customer_Master!A:C,3,FALSE)</f>
        <v>Consumer</v>
      </c>
      <c r="N525">
        <f>Table1[[#This Row],[Quantity]]*Table1[[#This Row],[Unit_Price]]</f>
        <v>6620</v>
      </c>
      <c r="O525">
        <f>(Table1[[#This Row],[Unit_Price]]-Table1[[#This Row],[Cost_Price]])*Table1[[#This Row],[Quantity]]</f>
        <v>3020</v>
      </c>
      <c r="P525">
        <f t="shared" si="8"/>
        <v>6620</v>
      </c>
      <c r="Q525" t="str">
        <f>TEXT(Table1[[#This Row],[Order_Date]],"mmm-yyyy")</f>
        <v>Jan-2024</v>
      </c>
    </row>
    <row r="526" spans="1:17" x14ac:dyDescent="0.35">
      <c r="A526" t="s">
        <v>839</v>
      </c>
      <c r="B526" t="s">
        <v>359</v>
      </c>
      <c r="C526" t="s">
        <v>45</v>
      </c>
      <c r="D526" t="s">
        <v>22</v>
      </c>
      <c r="E526" t="s">
        <v>12</v>
      </c>
      <c r="F526" t="s">
        <v>13</v>
      </c>
      <c r="G526">
        <v>9</v>
      </c>
      <c r="H526">
        <v>1161</v>
      </c>
      <c r="I526" t="str">
        <f>VLOOKUP(D526,Product_Master!A:D,2,FALSE)</f>
        <v>Desk</v>
      </c>
      <c r="J526" t="str">
        <f>VLOOKUP(D526,Product_Master!A:D,3,FALSE)</f>
        <v>Furniture</v>
      </c>
      <c r="K526">
        <f>VLOOKUP(D526,Product_Master!A:D,4,FALSE)</f>
        <v>300</v>
      </c>
      <c r="L526" t="str">
        <f>VLOOKUP(C526,Customer_Master!A:C,2,FALSE)</f>
        <v>TCS</v>
      </c>
      <c r="M526" t="str">
        <f>VLOOKUP(C526,Customer_Master!A:C,3,FALSE)</f>
        <v>Corporate</v>
      </c>
      <c r="N526">
        <f>Table1[[#This Row],[Quantity]]*Table1[[#This Row],[Unit_Price]]</f>
        <v>10449</v>
      </c>
      <c r="O526">
        <f>(Table1[[#This Row],[Unit_Price]]-Table1[[#This Row],[Cost_Price]])*Table1[[#This Row],[Quantity]]</f>
        <v>7749</v>
      </c>
      <c r="P526">
        <f t="shared" si="8"/>
        <v>10449</v>
      </c>
      <c r="Q526" t="str">
        <f>TEXT(Table1[[#This Row],[Order_Date]],"mmm-yyyy")</f>
        <v>Dec-2024</v>
      </c>
    </row>
    <row r="527" spans="1:17" x14ac:dyDescent="0.35">
      <c r="A527" t="s">
        <v>840</v>
      </c>
      <c r="B527" t="s">
        <v>841</v>
      </c>
      <c r="C527" t="s">
        <v>45</v>
      </c>
      <c r="D527" t="s">
        <v>11</v>
      </c>
      <c r="E527" t="s">
        <v>17</v>
      </c>
      <c r="F527" t="s">
        <v>34</v>
      </c>
      <c r="G527">
        <v>8</v>
      </c>
      <c r="H527">
        <v>1368</v>
      </c>
      <c r="I527" t="str">
        <f>VLOOKUP(D527,Product_Master!A:D,2,FALSE)</f>
        <v>Chair</v>
      </c>
      <c r="J527" t="str">
        <f>VLOOKUP(D527,Product_Master!A:D,3,FALSE)</f>
        <v>Furniture</v>
      </c>
      <c r="K527">
        <f>VLOOKUP(D527,Product_Master!A:D,4,FALSE)</f>
        <v>150</v>
      </c>
      <c r="L527" t="str">
        <f>VLOOKUP(C527,Customer_Master!A:C,2,FALSE)</f>
        <v>TCS</v>
      </c>
      <c r="M527" t="str">
        <f>VLOOKUP(C527,Customer_Master!A:C,3,FALSE)</f>
        <v>Corporate</v>
      </c>
      <c r="N527">
        <f>Table1[[#This Row],[Quantity]]*Table1[[#This Row],[Unit_Price]]</f>
        <v>10944</v>
      </c>
      <c r="O527">
        <f>(Table1[[#This Row],[Unit_Price]]-Table1[[#This Row],[Cost_Price]])*Table1[[#This Row],[Quantity]]</f>
        <v>9744</v>
      </c>
      <c r="P527">
        <f t="shared" si="8"/>
        <v>10944</v>
      </c>
      <c r="Q527" t="str">
        <f>TEXT(Table1[[#This Row],[Order_Date]],"mmm-yyyy")</f>
        <v>Oct-2024</v>
      </c>
    </row>
    <row r="528" spans="1:17" x14ac:dyDescent="0.35">
      <c r="A528" t="s">
        <v>842</v>
      </c>
      <c r="B528" t="s">
        <v>325</v>
      </c>
      <c r="C528" t="s">
        <v>42</v>
      </c>
      <c r="D528" t="s">
        <v>37</v>
      </c>
      <c r="E528" t="s">
        <v>27</v>
      </c>
      <c r="F528" t="s">
        <v>23</v>
      </c>
      <c r="G528">
        <v>3</v>
      </c>
      <c r="H528">
        <v>1199</v>
      </c>
      <c r="I528" t="str">
        <f>VLOOKUP(D528,Product_Master!A:D,2,FALSE)</f>
        <v>Mobile</v>
      </c>
      <c r="J528" t="str">
        <f>VLOOKUP(D528,Product_Master!A:D,3,FALSE)</f>
        <v>Electronics</v>
      </c>
      <c r="K528">
        <f>VLOOKUP(D528,Product_Master!A:D,4,FALSE)</f>
        <v>600</v>
      </c>
      <c r="L528" t="str">
        <f>VLOOKUP(C528,Customer_Master!A:C,2,FALSE)</f>
        <v>Ramesh</v>
      </c>
      <c r="M528" t="str">
        <f>VLOOKUP(C528,Customer_Master!A:C,3,FALSE)</f>
        <v>Consumer</v>
      </c>
      <c r="N528">
        <f>Table1[[#This Row],[Quantity]]*Table1[[#This Row],[Unit_Price]]</f>
        <v>3597</v>
      </c>
      <c r="O528">
        <f>(Table1[[#This Row],[Unit_Price]]-Table1[[#This Row],[Cost_Price]])*Table1[[#This Row],[Quantity]]</f>
        <v>1797</v>
      </c>
      <c r="P528">
        <f t="shared" si="8"/>
        <v>3597</v>
      </c>
      <c r="Q528" t="str">
        <f>TEXT(Table1[[#This Row],[Order_Date]],"mmm-yyyy")</f>
        <v>Dec-2024</v>
      </c>
    </row>
    <row r="529" spans="1:17" x14ac:dyDescent="0.35">
      <c r="A529" t="s">
        <v>843</v>
      </c>
      <c r="B529" t="s">
        <v>685</v>
      </c>
      <c r="C529" t="s">
        <v>45</v>
      </c>
      <c r="D529" t="s">
        <v>26</v>
      </c>
      <c r="E529" t="s">
        <v>33</v>
      </c>
      <c r="F529" t="s">
        <v>13</v>
      </c>
      <c r="G529">
        <v>8</v>
      </c>
      <c r="H529">
        <v>1441</v>
      </c>
      <c r="I529" t="str">
        <f>VLOOKUP(D529,Product_Master!A:D,2,FALSE)</f>
        <v>Laptop</v>
      </c>
      <c r="J529" t="str">
        <f>VLOOKUP(D529,Product_Master!A:D,3,FALSE)</f>
        <v>Electronics</v>
      </c>
      <c r="K529">
        <f>VLOOKUP(D529,Product_Master!A:D,4,FALSE)</f>
        <v>900</v>
      </c>
      <c r="L529" t="str">
        <f>VLOOKUP(C529,Customer_Master!A:C,2,FALSE)</f>
        <v>TCS</v>
      </c>
      <c r="M529" t="str">
        <f>VLOOKUP(C529,Customer_Master!A:C,3,FALSE)</f>
        <v>Corporate</v>
      </c>
      <c r="N529">
        <f>Table1[[#This Row],[Quantity]]*Table1[[#This Row],[Unit_Price]]</f>
        <v>11528</v>
      </c>
      <c r="O529">
        <f>(Table1[[#This Row],[Unit_Price]]-Table1[[#This Row],[Cost_Price]])*Table1[[#This Row],[Quantity]]</f>
        <v>4328</v>
      </c>
      <c r="P529">
        <f t="shared" si="8"/>
        <v>11528</v>
      </c>
      <c r="Q529" t="str">
        <f>TEXT(Table1[[#This Row],[Order_Date]],"mmm-yyyy")</f>
        <v>Aug-2024</v>
      </c>
    </row>
    <row r="530" spans="1:17" x14ac:dyDescent="0.35">
      <c r="A530" t="s">
        <v>844</v>
      </c>
      <c r="B530" t="s">
        <v>195</v>
      </c>
      <c r="C530" t="s">
        <v>42</v>
      </c>
      <c r="D530" t="s">
        <v>26</v>
      </c>
      <c r="E530" t="s">
        <v>12</v>
      </c>
      <c r="F530" t="s">
        <v>23</v>
      </c>
      <c r="G530">
        <v>8</v>
      </c>
      <c r="H530">
        <v>1292</v>
      </c>
      <c r="I530" t="str">
        <f>VLOOKUP(D530,Product_Master!A:D,2,FALSE)</f>
        <v>Laptop</v>
      </c>
      <c r="J530" t="str">
        <f>VLOOKUP(D530,Product_Master!A:D,3,FALSE)</f>
        <v>Electronics</v>
      </c>
      <c r="K530">
        <f>VLOOKUP(D530,Product_Master!A:D,4,FALSE)</f>
        <v>900</v>
      </c>
      <c r="L530" t="str">
        <f>VLOOKUP(C530,Customer_Master!A:C,2,FALSE)</f>
        <v>Ramesh</v>
      </c>
      <c r="M530" t="str">
        <f>VLOOKUP(C530,Customer_Master!A:C,3,FALSE)</f>
        <v>Consumer</v>
      </c>
      <c r="N530">
        <f>Table1[[#This Row],[Quantity]]*Table1[[#This Row],[Unit_Price]]</f>
        <v>10336</v>
      </c>
      <c r="O530">
        <f>(Table1[[#This Row],[Unit_Price]]-Table1[[#This Row],[Cost_Price]])*Table1[[#This Row],[Quantity]]</f>
        <v>3136</v>
      </c>
      <c r="P530">
        <f t="shared" si="8"/>
        <v>10336</v>
      </c>
      <c r="Q530" t="str">
        <f>TEXT(Table1[[#This Row],[Order_Date]],"mmm-yyyy")</f>
        <v>Jun-2024</v>
      </c>
    </row>
    <row r="531" spans="1:17" x14ac:dyDescent="0.35">
      <c r="A531" t="s">
        <v>845</v>
      </c>
      <c r="B531" t="s">
        <v>726</v>
      </c>
      <c r="C531" t="s">
        <v>45</v>
      </c>
      <c r="D531" t="s">
        <v>37</v>
      </c>
      <c r="E531" t="s">
        <v>33</v>
      </c>
      <c r="F531" t="s">
        <v>34</v>
      </c>
      <c r="G531">
        <v>5</v>
      </c>
      <c r="H531">
        <v>1196</v>
      </c>
      <c r="I531" t="str">
        <f>VLOOKUP(D531,Product_Master!A:D,2,FALSE)</f>
        <v>Mobile</v>
      </c>
      <c r="J531" t="str">
        <f>VLOOKUP(D531,Product_Master!A:D,3,FALSE)</f>
        <v>Electronics</v>
      </c>
      <c r="K531">
        <f>VLOOKUP(D531,Product_Master!A:D,4,FALSE)</f>
        <v>600</v>
      </c>
      <c r="L531" t="str">
        <f>VLOOKUP(C531,Customer_Master!A:C,2,FALSE)</f>
        <v>TCS</v>
      </c>
      <c r="M531" t="str">
        <f>VLOOKUP(C531,Customer_Master!A:C,3,FALSE)</f>
        <v>Corporate</v>
      </c>
      <c r="N531">
        <f>Table1[[#This Row],[Quantity]]*Table1[[#This Row],[Unit_Price]]</f>
        <v>5980</v>
      </c>
      <c r="O531">
        <f>(Table1[[#This Row],[Unit_Price]]-Table1[[#This Row],[Cost_Price]])*Table1[[#This Row],[Quantity]]</f>
        <v>2980</v>
      </c>
      <c r="P531">
        <f t="shared" si="8"/>
        <v>5980</v>
      </c>
      <c r="Q531" t="str">
        <f>TEXT(Table1[[#This Row],[Order_Date]],"mmm-yyyy")</f>
        <v>Oct-2024</v>
      </c>
    </row>
    <row r="532" spans="1:17" x14ac:dyDescent="0.35">
      <c r="A532" t="s">
        <v>846</v>
      </c>
      <c r="B532" t="s">
        <v>290</v>
      </c>
      <c r="C532" t="s">
        <v>21</v>
      </c>
      <c r="D532" t="s">
        <v>22</v>
      </c>
      <c r="E532" t="s">
        <v>27</v>
      </c>
      <c r="F532" t="s">
        <v>18</v>
      </c>
      <c r="G532">
        <v>6</v>
      </c>
      <c r="H532">
        <v>1939</v>
      </c>
      <c r="I532" t="str">
        <f>VLOOKUP(D532,Product_Master!A:D,2,FALSE)</f>
        <v>Desk</v>
      </c>
      <c r="J532" t="str">
        <f>VLOOKUP(D532,Product_Master!A:D,3,FALSE)</f>
        <v>Furniture</v>
      </c>
      <c r="K532">
        <f>VLOOKUP(D532,Product_Master!A:D,4,FALSE)</f>
        <v>300</v>
      </c>
      <c r="L532" t="str">
        <f>VLOOKUP(C532,Customer_Master!A:C,2,FALSE)</f>
        <v>Reliance</v>
      </c>
      <c r="M532" t="str">
        <f>VLOOKUP(C532,Customer_Master!A:C,3,FALSE)</f>
        <v>Corporate</v>
      </c>
      <c r="N532">
        <f>Table1[[#This Row],[Quantity]]*Table1[[#This Row],[Unit_Price]]</f>
        <v>11634</v>
      </c>
      <c r="O532">
        <f>(Table1[[#This Row],[Unit_Price]]-Table1[[#This Row],[Cost_Price]])*Table1[[#This Row],[Quantity]]</f>
        <v>9834</v>
      </c>
      <c r="P532">
        <f t="shared" si="8"/>
        <v>11634</v>
      </c>
      <c r="Q532" t="str">
        <f>TEXT(Table1[[#This Row],[Order_Date]],"mmm-yyyy")</f>
        <v>May-2024</v>
      </c>
    </row>
    <row r="533" spans="1:17" x14ac:dyDescent="0.35">
      <c r="A533" t="s">
        <v>847</v>
      </c>
      <c r="B533" t="s">
        <v>848</v>
      </c>
      <c r="C533" t="s">
        <v>45</v>
      </c>
      <c r="D533" t="s">
        <v>11</v>
      </c>
      <c r="E533" t="s">
        <v>12</v>
      </c>
      <c r="F533" t="s">
        <v>34</v>
      </c>
      <c r="G533">
        <v>6</v>
      </c>
      <c r="H533">
        <v>1886</v>
      </c>
      <c r="I533" t="str">
        <f>VLOOKUP(D533,Product_Master!A:D,2,FALSE)</f>
        <v>Chair</v>
      </c>
      <c r="J533" t="str">
        <f>VLOOKUP(D533,Product_Master!A:D,3,FALSE)</f>
        <v>Furniture</v>
      </c>
      <c r="K533">
        <f>VLOOKUP(D533,Product_Master!A:D,4,FALSE)</f>
        <v>150</v>
      </c>
      <c r="L533" t="str">
        <f>VLOOKUP(C533,Customer_Master!A:C,2,FALSE)</f>
        <v>TCS</v>
      </c>
      <c r="M533" t="str">
        <f>VLOOKUP(C533,Customer_Master!A:C,3,FALSE)</f>
        <v>Corporate</v>
      </c>
      <c r="N533">
        <f>Table1[[#This Row],[Quantity]]*Table1[[#This Row],[Unit_Price]]</f>
        <v>11316</v>
      </c>
      <c r="O533">
        <f>(Table1[[#This Row],[Unit_Price]]-Table1[[#This Row],[Cost_Price]])*Table1[[#This Row],[Quantity]]</f>
        <v>10416</v>
      </c>
      <c r="P533">
        <f t="shared" si="8"/>
        <v>11316</v>
      </c>
      <c r="Q533" t="str">
        <f>TEXT(Table1[[#This Row],[Order_Date]],"mmm-yyyy")</f>
        <v>Nov-2024</v>
      </c>
    </row>
    <row r="534" spans="1:17" x14ac:dyDescent="0.35">
      <c r="A534" t="s">
        <v>849</v>
      </c>
      <c r="B534" t="s">
        <v>36</v>
      </c>
      <c r="C534" t="s">
        <v>45</v>
      </c>
      <c r="D534" t="s">
        <v>11</v>
      </c>
      <c r="E534" t="s">
        <v>17</v>
      </c>
      <c r="F534" t="s">
        <v>18</v>
      </c>
      <c r="G534">
        <v>7</v>
      </c>
      <c r="H534">
        <v>1687</v>
      </c>
      <c r="I534" t="str">
        <f>VLOOKUP(D534,Product_Master!A:D,2,FALSE)</f>
        <v>Chair</v>
      </c>
      <c r="J534" t="str">
        <f>VLOOKUP(D534,Product_Master!A:D,3,FALSE)</f>
        <v>Furniture</v>
      </c>
      <c r="K534">
        <f>VLOOKUP(D534,Product_Master!A:D,4,FALSE)</f>
        <v>150</v>
      </c>
      <c r="L534" t="str">
        <f>VLOOKUP(C534,Customer_Master!A:C,2,FALSE)</f>
        <v>TCS</v>
      </c>
      <c r="M534" t="str">
        <f>VLOOKUP(C534,Customer_Master!A:C,3,FALSE)</f>
        <v>Corporate</v>
      </c>
      <c r="N534">
        <f>Table1[[#This Row],[Quantity]]*Table1[[#This Row],[Unit_Price]]</f>
        <v>11809</v>
      </c>
      <c r="O534">
        <f>(Table1[[#This Row],[Unit_Price]]-Table1[[#This Row],[Cost_Price]])*Table1[[#This Row],[Quantity]]</f>
        <v>10759</v>
      </c>
      <c r="P534">
        <f t="shared" si="8"/>
        <v>11809</v>
      </c>
      <c r="Q534" t="str">
        <f>TEXT(Table1[[#This Row],[Order_Date]],"mmm-yyyy")</f>
        <v>Nov-2024</v>
      </c>
    </row>
    <row r="535" spans="1:17" x14ac:dyDescent="0.35">
      <c r="A535" t="s">
        <v>850</v>
      </c>
      <c r="B535" t="s">
        <v>593</v>
      </c>
      <c r="C535" t="s">
        <v>42</v>
      </c>
      <c r="D535" t="s">
        <v>16</v>
      </c>
      <c r="E535" t="s">
        <v>17</v>
      </c>
      <c r="F535" t="s">
        <v>23</v>
      </c>
      <c r="G535">
        <v>8</v>
      </c>
      <c r="H535">
        <v>1546</v>
      </c>
      <c r="I535" t="str">
        <f>VLOOKUP(D535,Product_Master!A:D,2,FALSE)</f>
        <v>Printer</v>
      </c>
      <c r="J535" t="str">
        <f>VLOOKUP(D535,Product_Master!A:D,3,FALSE)</f>
        <v>Electronics</v>
      </c>
      <c r="K535">
        <f>VLOOKUP(D535,Product_Master!A:D,4,FALSE)</f>
        <v>1100</v>
      </c>
      <c r="L535" t="str">
        <f>VLOOKUP(C535,Customer_Master!A:C,2,FALSE)</f>
        <v>Ramesh</v>
      </c>
      <c r="M535" t="str">
        <f>VLOOKUP(C535,Customer_Master!A:C,3,FALSE)</f>
        <v>Consumer</v>
      </c>
      <c r="N535">
        <f>Table1[[#This Row],[Quantity]]*Table1[[#This Row],[Unit_Price]]</f>
        <v>12368</v>
      </c>
      <c r="O535">
        <f>(Table1[[#This Row],[Unit_Price]]-Table1[[#This Row],[Cost_Price]])*Table1[[#This Row],[Quantity]]</f>
        <v>3568</v>
      </c>
      <c r="P535">
        <f t="shared" si="8"/>
        <v>12368</v>
      </c>
      <c r="Q535" t="str">
        <f>TEXT(Table1[[#This Row],[Order_Date]],"mmm-yyyy")</f>
        <v>May-2024</v>
      </c>
    </row>
    <row r="536" spans="1:17" x14ac:dyDescent="0.35">
      <c r="A536" t="s">
        <v>851</v>
      </c>
      <c r="B536" t="s">
        <v>128</v>
      </c>
      <c r="C536" t="s">
        <v>30</v>
      </c>
      <c r="D536" t="s">
        <v>22</v>
      </c>
      <c r="E536" t="s">
        <v>17</v>
      </c>
      <c r="F536" t="s">
        <v>34</v>
      </c>
      <c r="G536">
        <v>10</v>
      </c>
      <c r="H536">
        <v>1919</v>
      </c>
      <c r="I536" t="str">
        <f>VLOOKUP(D536,Product_Master!A:D,2,FALSE)</f>
        <v>Desk</v>
      </c>
      <c r="J536" t="str">
        <f>VLOOKUP(D536,Product_Master!A:D,3,FALSE)</f>
        <v>Furniture</v>
      </c>
      <c r="K536">
        <f>VLOOKUP(D536,Product_Master!A:D,4,FALSE)</f>
        <v>300</v>
      </c>
      <c r="L536" t="str">
        <f>VLOOKUP(C536,Customer_Master!A:C,2,FALSE)</f>
        <v>Infosys</v>
      </c>
      <c r="M536" t="str">
        <f>VLOOKUP(C536,Customer_Master!A:C,3,FALSE)</f>
        <v>Corporate</v>
      </c>
      <c r="N536">
        <f>Table1[[#This Row],[Quantity]]*Table1[[#This Row],[Unit_Price]]</f>
        <v>19190</v>
      </c>
      <c r="O536">
        <f>(Table1[[#This Row],[Unit_Price]]-Table1[[#This Row],[Cost_Price]])*Table1[[#This Row],[Quantity]]</f>
        <v>16190</v>
      </c>
      <c r="P536">
        <f t="shared" si="8"/>
        <v>19190</v>
      </c>
      <c r="Q536" t="str">
        <f>TEXT(Table1[[#This Row],[Order_Date]],"mmm-yyyy")</f>
        <v>Aug-2024</v>
      </c>
    </row>
    <row r="537" spans="1:17" x14ac:dyDescent="0.35">
      <c r="A537" t="s">
        <v>852</v>
      </c>
      <c r="B537" t="s">
        <v>421</v>
      </c>
      <c r="C537" t="s">
        <v>30</v>
      </c>
      <c r="D537" t="s">
        <v>16</v>
      </c>
      <c r="E537" t="s">
        <v>27</v>
      </c>
      <c r="F537" t="s">
        <v>34</v>
      </c>
      <c r="G537">
        <v>3</v>
      </c>
      <c r="H537">
        <v>1711</v>
      </c>
      <c r="I537" t="str">
        <f>VLOOKUP(D537,Product_Master!A:D,2,FALSE)</f>
        <v>Printer</v>
      </c>
      <c r="J537" t="str">
        <f>VLOOKUP(D537,Product_Master!A:D,3,FALSE)</f>
        <v>Electronics</v>
      </c>
      <c r="K537">
        <f>VLOOKUP(D537,Product_Master!A:D,4,FALSE)</f>
        <v>1100</v>
      </c>
      <c r="L537" t="str">
        <f>VLOOKUP(C537,Customer_Master!A:C,2,FALSE)</f>
        <v>Infosys</v>
      </c>
      <c r="M537" t="str">
        <f>VLOOKUP(C537,Customer_Master!A:C,3,FALSE)</f>
        <v>Corporate</v>
      </c>
      <c r="N537">
        <f>Table1[[#This Row],[Quantity]]*Table1[[#This Row],[Unit_Price]]</f>
        <v>5133</v>
      </c>
      <c r="O537">
        <f>(Table1[[#This Row],[Unit_Price]]-Table1[[#This Row],[Cost_Price]])*Table1[[#This Row],[Quantity]]</f>
        <v>1833</v>
      </c>
      <c r="P537">
        <f t="shared" si="8"/>
        <v>5133</v>
      </c>
      <c r="Q537" t="str">
        <f>TEXT(Table1[[#This Row],[Order_Date]],"mmm-yyyy")</f>
        <v>Jul-2024</v>
      </c>
    </row>
    <row r="538" spans="1:17" x14ac:dyDescent="0.35">
      <c r="A538" t="s">
        <v>853</v>
      </c>
      <c r="B538" t="s">
        <v>484</v>
      </c>
      <c r="C538" t="s">
        <v>42</v>
      </c>
      <c r="D538" t="s">
        <v>16</v>
      </c>
      <c r="E538" t="s">
        <v>17</v>
      </c>
      <c r="F538" t="s">
        <v>23</v>
      </c>
      <c r="G538">
        <v>3</v>
      </c>
      <c r="H538">
        <v>1826</v>
      </c>
      <c r="I538" t="str">
        <f>VLOOKUP(D538,Product_Master!A:D,2,FALSE)</f>
        <v>Printer</v>
      </c>
      <c r="J538" t="str">
        <f>VLOOKUP(D538,Product_Master!A:D,3,FALSE)</f>
        <v>Electronics</v>
      </c>
      <c r="K538">
        <f>VLOOKUP(D538,Product_Master!A:D,4,FALSE)</f>
        <v>1100</v>
      </c>
      <c r="L538" t="str">
        <f>VLOOKUP(C538,Customer_Master!A:C,2,FALSE)</f>
        <v>Ramesh</v>
      </c>
      <c r="M538" t="str">
        <f>VLOOKUP(C538,Customer_Master!A:C,3,FALSE)</f>
        <v>Consumer</v>
      </c>
      <c r="N538">
        <f>Table1[[#This Row],[Quantity]]*Table1[[#This Row],[Unit_Price]]</f>
        <v>5478</v>
      </c>
      <c r="O538">
        <f>(Table1[[#This Row],[Unit_Price]]-Table1[[#This Row],[Cost_Price]])*Table1[[#This Row],[Quantity]]</f>
        <v>2178</v>
      </c>
      <c r="P538">
        <f t="shared" si="8"/>
        <v>5478</v>
      </c>
      <c r="Q538" t="str">
        <f>TEXT(Table1[[#This Row],[Order_Date]],"mmm-yyyy")</f>
        <v>Jul-2024</v>
      </c>
    </row>
    <row r="539" spans="1:17" x14ac:dyDescent="0.35">
      <c r="A539" t="s">
        <v>854</v>
      </c>
      <c r="B539" t="s">
        <v>104</v>
      </c>
      <c r="C539" t="s">
        <v>10</v>
      </c>
      <c r="D539" t="s">
        <v>22</v>
      </c>
      <c r="E539" t="s">
        <v>27</v>
      </c>
      <c r="F539" t="s">
        <v>13</v>
      </c>
      <c r="G539">
        <v>5</v>
      </c>
      <c r="H539">
        <v>1947</v>
      </c>
      <c r="I539" t="str">
        <f>VLOOKUP(D539,Product_Master!A:D,2,FALSE)</f>
        <v>Desk</v>
      </c>
      <c r="J539" t="str">
        <f>VLOOKUP(D539,Product_Master!A:D,3,FALSE)</f>
        <v>Furniture</v>
      </c>
      <c r="K539">
        <f>VLOOKUP(D539,Product_Master!A:D,4,FALSE)</f>
        <v>300</v>
      </c>
      <c r="L539" t="str">
        <f>VLOOKUP(C539,Customer_Master!A:C,2,FALSE)</f>
        <v>Suresh</v>
      </c>
      <c r="M539" t="str">
        <f>VLOOKUP(C539,Customer_Master!A:C,3,FALSE)</f>
        <v>Consumer</v>
      </c>
      <c r="N539">
        <f>Table1[[#This Row],[Quantity]]*Table1[[#This Row],[Unit_Price]]</f>
        <v>9735</v>
      </c>
      <c r="O539">
        <f>(Table1[[#This Row],[Unit_Price]]-Table1[[#This Row],[Cost_Price]])*Table1[[#This Row],[Quantity]]</f>
        <v>8235</v>
      </c>
      <c r="P539">
        <f t="shared" si="8"/>
        <v>9735</v>
      </c>
      <c r="Q539" t="str">
        <f>TEXT(Table1[[#This Row],[Order_Date]],"mmm-yyyy")</f>
        <v>Oct-2024</v>
      </c>
    </row>
    <row r="540" spans="1:17" x14ac:dyDescent="0.35">
      <c r="A540" t="s">
        <v>855</v>
      </c>
      <c r="B540" t="s">
        <v>147</v>
      </c>
      <c r="C540" t="s">
        <v>10</v>
      </c>
      <c r="D540" t="s">
        <v>22</v>
      </c>
      <c r="E540" t="s">
        <v>33</v>
      </c>
      <c r="F540" t="s">
        <v>34</v>
      </c>
      <c r="G540">
        <v>10</v>
      </c>
      <c r="H540">
        <v>1388</v>
      </c>
      <c r="I540" t="str">
        <f>VLOOKUP(D540,Product_Master!A:D,2,FALSE)</f>
        <v>Desk</v>
      </c>
      <c r="J540" t="str">
        <f>VLOOKUP(D540,Product_Master!A:D,3,FALSE)</f>
        <v>Furniture</v>
      </c>
      <c r="K540">
        <f>VLOOKUP(D540,Product_Master!A:D,4,FALSE)</f>
        <v>300</v>
      </c>
      <c r="L540" t="str">
        <f>VLOOKUP(C540,Customer_Master!A:C,2,FALSE)</f>
        <v>Suresh</v>
      </c>
      <c r="M540" t="str">
        <f>VLOOKUP(C540,Customer_Master!A:C,3,FALSE)</f>
        <v>Consumer</v>
      </c>
      <c r="N540">
        <f>Table1[[#This Row],[Quantity]]*Table1[[#This Row],[Unit_Price]]</f>
        <v>13880</v>
      </c>
      <c r="O540">
        <f>(Table1[[#This Row],[Unit_Price]]-Table1[[#This Row],[Cost_Price]])*Table1[[#This Row],[Quantity]]</f>
        <v>10880</v>
      </c>
      <c r="P540">
        <f t="shared" si="8"/>
        <v>13880</v>
      </c>
      <c r="Q540" t="str">
        <f>TEXT(Table1[[#This Row],[Order_Date]],"mmm-yyyy")</f>
        <v>May-2024</v>
      </c>
    </row>
    <row r="541" spans="1:17" x14ac:dyDescent="0.35">
      <c r="A541" t="s">
        <v>856</v>
      </c>
      <c r="B541" t="s">
        <v>857</v>
      </c>
      <c r="C541" t="s">
        <v>21</v>
      </c>
      <c r="D541" t="s">
        <v>37</v>
      </c>
      <c r="E541" t="s">
        <v>33</v>
      </c>
      <c r="F541" t="s">
        <v>34</v>
      </c>
      <c r="G541">
        <v>2</v>
      </c>
      <c r="H541">
        <v>1564</v>
      </c>
      <c r="I541" t="str">
        <f>VLOOKUP(D541,Product_Master!A:D,2,FALSE)</f>
        <v>Mobile</v>
      </c>
      <c r="J541" t="str">
        <f>VLOOKUP(D541,Product_Master!A:D,3,FALSE)</f>
        <v>Electronics</v>
      </c>
      <c r="K541">
        <f>VLOOKUP(D541,Product_Master!A:D,4,FALSE)</f>
        <v>600</v>
      </c>
      <c r="L541" t="str">
        <f>VLOOKUP(C541,Customer_Master!A:C,2,FALSE)</f>
        <v>Reliance</v>
      </c>
      <c r="M541" t="str">
        <f>VLOOKUP(C541,Customer_Master!A:C,3,FALSE)</f>
        <v>Corporate</v>
      </c>
      <c r="N541">
        <f>Table1[[#This Row],[Quantity]]*Table1[[#This Row],[Unit_Price]]</f>
        <v>3128</v>
      </c>
      <c r="O541">
        <f>(Table1[[#This Row],[Unit_Price]]-Table1[[#This Row],[Cost_Price]])*Table1[[#This Row],[Quantity]]</f>
        <v>1928</v>
      </c>
      <c r="P541">
        <f t="shared" si="8"/>
        <v>3128</v>
      </c>
      <c r="Q541" t="str">
        <f>TEXT(Table1[[#This Row],[Order_Date]],"mmm-yyyy")</f>
        <v>Aug-2024</v>
      </c>
    </row>
    <row r="542" spans="1:17" x14ac:dyDescent="0.35">
      <c r="A542" t="s">
        <v>858</v>
      </c>
      <c r="B542" t="s">
        <v>311</v>
      </c>
      <c r="C542" t="s">
        <v>30</v>
      </c>
      <c r="D542" t="s">
        <v>22</v>
      </c>
      <c r="E542" t="s">
        <v>17</v>
      </c>
      <c r="F542" t="s">
        <v>18</v>
      </c>
      <c r="G542">
        <v>4</v>
      </c>
      <c r="H542">
        <v>1709</v>
      </c>
      <c r="I542" t="str">
        <f>VLOOKUP(D542,Product_Master!A:D,2,FALSE)</f>
        <v>Desk</v>
      </c>
      <c r="J542" t="str">
        <f>VLOOKUP(D542,Product_Master!A:D,3,FALSE)</f>
        <v>Furniture</v>
      </c>
      <c r="K542">
        <f>VLOOKUP(D542,Product_Master!A:D,4,FALSE)</f>
        <v>300</v>
      </c>
      <c r="L542" t="str">
        <f>VLOOKUP(C542,Customer_Master!A:C,2,FALSE)</f>
        <v>Infosys</v>
      </c>
      <c r="M542" t="str">
        <f>VLOOKUP(C542,Customer_Master!A:C,3,FALSE)</f>
        <v>Corporate</v>
      </c>
      <c r="N542">
        <f>Table1[[#This Row],[Quantity]]*Table1[[#This Row],[Unit_Price]]</f>
        <v>6836</v>
      </c>
      <c r="O542">
        <f>(Table1[[#This Row],[Unit_Price]]-Table1[[#This Row],[Cost_Price]])*Table1[[#This Row],[Quantity]]</f>
        <v>5636</v>
      </c>
      <c r="P542">
        <f t="shared" si="8"/>
        <v>6836</v>
      </c>
      <c r="Q542" t="str">
        <f>TEXT(Table1[[#This Row],[Order_Date]],"mmm-yyyy")</f>
        <v>Sep-2024</v>
      </c>
    </row>
    <row r="543" spans="1:17" x14ac:dyDescent="0.35">
      <c r="A543" t="s">
        <v>859</v>
      </c>
      <c r="B543" t="s">
        <v>240</v>
      </c>
      <c r="C543" t="s">
        <v>42</v>
      </c>
      <c r="D543" t="s">
        <v>22</v>
      </c>
      <c r="E543" t="s">
        <v>33</v>
      </c>
      <c r="F543" t="s">
        <v>34</v>
      </c>
      <c r="G543">
        <v>5</v>
      </c>
      <c r="H543">
        <v>853</v>
      </c>
      <c r="I543" t="str">
        <f>VLOOKUP(D543,Product_Master!A:D,2,FALSE)</f>
        <v>Desk</v>
      </c>
      <c r="J543" t="str">
        <f>VLOOKUP(D543,Product_Master!A:D,3,FALSE)</f>
        <v>Furniture</v>
      </c>
      <c r="K543">
        <f>VLOOKUP(D543,Product_Master!A:D,4,FALSE)</f>
        <v>300</v>
      </c>
      <c r="L543" t="str">
        <f>VLOOKUP(C543,Customer_Master!A:C,2,FALSE)</f>
        <v>Ramesh</v>
      </c>
      <c r="M543" t="str">
        <f>VLOOKUP(C543,Customer_Master!A:C,3,FALSE)</f>
        <v>Consumer</v>
      </c>
      <c r="N543">
        <f>Table1[[#This Row],[Quantity]]*Table1[[#This Row],[Unit_Price]]</f>
        <v>4265</v>
      </c>
      <c r="O543">
        <f>(Table1[[#This Row],[Unit_Price]]-Table1[[#This Row],[Cost_Price]])*Table1[[#This Row],[Quantity]]</f>
        <v>2765</v>
      </c>
      <c r="P543">
        <f t="shared" si="8"/>
        <v>4265</v>
      </c>
      <c r="Q543" t="str">
        <f>TEXT(Table1[[#This Row],[Order_Date]],"mmm-yyyy")</f>
        <v>Dec-2024</v>
      </c>
    </row>
    <row r="544" spans="1:17" x14ac:dyDescent="0.35">
      <c r="A544" t="s">
        <v>860</v>
      </c>
      <c r="B544" t="s">
        <v>857</v>
      </c>
      <c r="C544" t="s">
        <v>21</v>
      </c>
      <c r="D544" t="s">
        <v>16</v>
      </c>
      <c r="E544" t="s">
        <v>12</v>
      </c>
      <c r="F544" t="s">
        <v>34</v>
      </c>
      <c r="G544">
        <v>6</v>
      </c>
      <c r="H544">
        <v>1185</v>
      </c>
      <c r="I544" t="str">
        <f>VLOOKUP(D544,Product_Master!A:D,2,FALSE)</f>
        <v>Printer</v>
      </c>
      <c r="J544" t="str">
        <f>VLOOKUP(D544,Product_Master!A:D,3,FALSE)</f>
        <v>Electronics</v>
      </c>
      <c r="K544">
        <f>VLOOKUP(D544,Product_Master!A:D,4,FALSE)</f>
        <v>1100</v>
      </c>
      <c r="L544" t="str">
        <f>VLOOKUP(C544,Customer_Master!A:C,2,FALSE)</f>
        <v>Reliance</v>
      </c>
      <c r="M544" t="str">
        <f>VLOOKUP(C544,Customer_Master!A:C,3,FALSE)</f>
        <v>Corporate</v>
      </c>
      <c r="N544">
        <f>Table1[[#This Row],[Quantity]]*Table1[[#This Row],[Unit_Price]]</f>
        <v>7110</v>
      </c>
      <c r="O544">
        <f>(Table1[[#This Row],[Unit_Price]]-Table1[[#This Row],[Cost_Price]])*Table1[[#This Row],[Quantity]]</f>
        <v>510</v>
      </c>
      <c r="P544">
        <f t="shared" si="8"/>
        <v>7110</v>
      </c>
      <c r="Q544" t="str">
        <f>TEXT(Table1[[#This Row],[Order_Date]],"mmm-yyyy")</f>
        <v>Aug-2024</v>
      </c>
    </row>
    <row r="545" spans="1:17" x14ac:dyDescent="0.35">
      <c r="A545" t="s">
        <v>861</v>
      </c>
      <c r="B545" t="s">
        <v>292</v>
      </c>
      <c r="C545" t="s">
        <v>45</v>
      </c>
      <c r="D545" t="s">
        <v>11</v>
      </c>
      <c r="E545" t="s">
        <v>33</v>
      </c>
      <c r="F545" t="s">
        <v>13</v>
      </c>
      <c r="G545">
        <v>9</v>
      </c>
      <c r="H545">
        <v>1596</v>
      </c>
      <c r="I545" t="str">
        <f>VLOOKUP(D545,Product_Master!A:D,2,FALSE)</f>
        <v>Chair</v>
      </c>
      <c r="J545" t="str">
        <f>VLOOKUP(D545,Product_Master!A:D,3,FALSE)</f>
        <v>Furniture</v>
      </c>
      <c r="K545">
        <f>VLOOKUP(D545,Product_Master!A:D,4,FALSE)</f>
        <v>150</v>
      </c>
      <c r="L545" t="str">
        <f>VLOOKUP(C545,Customer_Master!A:C,2,FALSE)</f>
        <v>TCS</v>
      </c>
      <c r="M545" t="str">
        <f>VLOOKUP(C545,Customer_Master!A:C,3,FALSE)</f>
        <v>Corporate</v>
      </c>
      <c r="N545">
        <f>Table1[[#This Row],[Quantity]]*Table1[[#This Row],[Unit_Price]]</f>
        <v>14364</v>
      </c>
      <c r="O545">
        <f>(Table1[[#This Row],[Unit_Price]]-Table1[[#This Row],[Cost_Price]])*Table1[[#This Row],[Quantity]]</f>
        <v>13014</v>
      </c>
      <c r="P545">
        <f t="shared" si="8"/>
        <v>14364</v>
      </c>
      <c r="Q545" t="str">
        <f>TEXT(Table1[[#This Row],[Order_Date]],"mmm-yyyy")</f>
        <v>Oct-2024</v>
      </c>
    </row>
    <row r="546" spans="1:17" x14ac:dyDescent="0.35">
      <c r="A546" t="s">
        <v>862</v>
      </c>
      <c r="B546" t="s">
        <v>527</v>
      </c>
      <c r="C546" t="s">
        <v>42</v>
      </c>
      <c r="D546" t="s">
        <v>26</v>
      </c>
      <c r="E546" t="s">
        <v>17</v>
      </c>
      <c r="F546" t="s">
        <v>34</v>
      </c>
      <c r="G546">
        <v>5</v>
      </c>
      <c r="H546">
        <v>1298</v>
      </c>
      <c r="I546" t="str">
        <f>VLOOKUP(D546,Product_Master!A:D,2,FALSE)</f>
        <v>Laptop</v>
      </c>
      <c r="J546" t="str">
        <f>VLOOKUP(D546,Product_Master!A:D,3,FALSE)</f>
        <v>Electronics</v>
      </c>
      <c r="K546">
        <f>VLOOKUP(D546,Product_Master!A:D,4,FALSE)</f>
        <v>900</v>
      </c>
      <c r="L546" t="str">
        <f>VLOOKUP(C546,Customer_Master!A:C,2,FALSE)</f>
        <v>Ramesh</v>
      </c>
      <c r="M546" t="str">
        <f>VLOOKUP(C546,Customer_Master!A:C,3,FALSE)</f>
        <v>Consumer</v>
      </c>
      <c r="N546">
        <f>Table1[[#This Row],[Quantity]]*Table1[[#This Row],[Unit_Price]]</f>
        <v>6490</v>
      </c>
      <c r="O546">
        <f>(Table1[[#This Row],[Unit_Price]]-Table1[[#This Row],[Cost_Price]])*Table1[[#This Row],[Quantity]]</f>
        <v>1990</v>
      </c>
      <c r="P546">
        <f t="shared" si="8"/>
        <v>6490</v>
      </c>
      <c r="Q546" t="str">
        <f>TEXT(Table1[[#This Row],[Order_Date]],"mmm-yyyy")</f>
        <v>Oct-2024</v>
      </c>
    </row>
    <row r="547" spans="1:17" x14ac:dyDescent="0.35">
      <c r="A547" t="s">
        <v>863</v>
      </c>
      <c r="B547" t="s">
        <v>864</v>
      </c>
      <c r="C547" t="s">
        <v>42</v>
      </c>
      <c r="D547" t="s">
        <v>16</v>
      </c>
      <c r="E547" t="s">
        <v>12</v>
      </c>
      <c r="F547" t="s">
        <v>13</v>
      </c>
      <c r="G547">
        <v>6</v>
      </c>
      <c r="H547">
        <v>1364</v>
      </c>
      <c r="I547" t="str">
        <f>VLOOKUP(D547,Product_Master!A:D,2,FALSE)</f>
        <v>Printer</v>
      </c>
      <c r="J547" t="str">
        <f>VLOOKUP(D547,Product_Master!A:D,3,FALSE)</f>
        <v>Electronics</v>
      </c>
      <c r="K547">
        <f>VLOOKUP(D547,Product_Master!A:D,4,FALSE)</f>
        <v>1100</v>
      </c>
      <c r="L547" t="str">
        <f>VLOOKUP(C547,Customer_Master!A:C,2,FALSE)</f>
        <v>Ramesh</v>
      </c>
      <c r="M547" t="str">
        <f>VLOOKUP(C547,Customer_Master!A:C,3,FALSE)</f>
        <v>Consumer</v>
      </c>
      <c r="N547">
        <f>Table1[[#This Row],[Quantity]]*Table1[[#This Row],[Unit_Price]]</f>
        <v>8184</v>
      </c>
      <c r="O547">
        <f>(Table1[[#This Row],[Unit_Price]]-Table1[[#This Row],[Cost_Price]])*Table1[[#This Row],[Quantity]]</f>
        <v>1584</v>
      </c>
      <c r="P547">
        <f t="shared" si="8"/>
        <v>8184</v>
      </c>
      <c r="Q547" t="str">
        <f>TEXT(Table1[[#This Row],[Order_Date]],"mmm-yyyy")</f>
        <v>May-2024</v>
      </c>
    </row>
    <row r="548" spans="1:17" x14ac:dyDescent="0.35">
      <c r="A548" t="s">
        <v>865</v>
      </c>
      <c r="B548" t="s">
        <v>750</v>
      </c>
      <c r="C548" t="s">
        <v>21</v>
      </c>
      <c r="D548" t="s">
        <v>22</v>
      </c>
      <c r="E548" t="s">
        <v>17</v>
      </c>
      <c r="F548" t="s">
        <v>13</v>
      </c>
      <c r="G548">
        <v>7</v>
      </c>
      <c r="H548">
        <v>1223</v>
      </c>
      <c r="I548" t="str">
        <f>VLOOKUP(D548,Product_Master!A:D,2,FALSE)</f>
        <v>Desk</v>
      </c>
      <c r="J548" t="str">
        <f>VLOOKUP(D548,Product_Master!A:D,3,FALSE)</f>
        <v>Furniture</v>
      </c>
      <c r="K548">
        <f>VLOOKUP(D548,Product_Master!A:D,4,FALSE)</f>
        <v>300</v>
      </c>
      <c r="L548" t="str">
        <f>VLOOKUP(C548,Customer_Master!A:C,2,FALSE)</f>
        <v>Reliance</v>
      </c>
      <c r="M548" t="str">
        <f>VLOOKUP(C548,Customer_Master!A:C,3,FALSE)</f>
        <v>Corporate</v>
      </c>
      <c r="N548">
        <f>Table1[[#This Row],[Quantity]]*Table1[[#This Row],[Unit_Price]]</f>
        <v>8561</v>
      </c>
      <c r="O548">
        <f>(Table1[[#This Row],[Unit_Price]]-Table1[[#This Row],[Cost_Price]])*Table1[[#This Row],[Quantity]]</f>
        <v>6461</v>
      </c>
      <c r="P548">
        <f t="shared" si="8"/>
        <v>8561</v>
      </c>
      <c r="Q548" t="str">
        <f>TEXT(Table1[[#This Row],[Order_Date]],"mmm-yyyy")</f>
        <v>Apr-2024</v>
      </c>
    </row>
    <row r="549" spans="1:17" x14ac:dyDescent="0.35">
      <c r="A549" t="s">
        <v>866</v>
      </c>
      <c r="B549" t="s">
        <v>437</v>
      </c>
      <c r="C549" t="s">
        <v>45</v>
      </c>
      <c r="D549" t="s">
        <v>22</v>
      </c>
      <c r="E549" t="s">
        <v>33</v>
      </c>
      <c r="F549" t="s">
        <v>13</v>
      </c>
      <c r="G549">
        <v>1</v>
      </c>
      <c r="H549">
        <v>937</v>
      </c>
      <c r="I549" t="str">
        <f>VLOOKUP(D549,Product_Master!A:D,2,FALSE)</f>
        <v>Desk</v>
      </c>
      <c r="J549" t="str">
        <f>VLOOKUP(D549,Product_Master!A:D,3,FALSE)</f>
        <v>Furniture</v>
      </c>
      <c r="K549">
        <f>VLOOKUP(D549,Product_Master!A:D,4,FALSE)</f>
        <v>300</v>
      </c>
      <c r="L549" t="str">
        <f>VLOOKUP(C549,Customer_Master!A:C,2,FALSE)</f>
        <v>TCS</v>
      </c>
      <c r="M549" t="str">
        <f>VLOOKUP(C549,Customer_Master!A:C,3,FALSE)</f>
        <v>Corporate</v>
      </c>
      <c r="N549">
        <f>Table1[[#This Row],[Quantity]]*Table1[[#This Row],[Unit_Price]]</f>
        <v>937</v>
      </c>
      <c r="O549">
        <f>(Table1[[#This Row],[Unit_Price]]-Table1[[#This Row],[Cost_Price]])*Table1[[#This Row],[Quantity]]</f>
        <v>637</v>
      </c>
      <c r="P549">
        <f t="shared" si="8"/>
        <v>937</v>
      </c>
      <c r="Q549" t="str">
        <f>TEXT(Table1[[#This Row],[Order_Date]],"mmm-yyyy")</f>
        <v>Jul-2024</v>
      </c>
    </row>
    <row r="550" spans="1:17" x14ac:dyDescent="0.35">
      <c r="A550" t="s">
        <v>867</v>
      </c>
      <c r="B550" t="s">
        <v>868</v>
      </c>
      <c r="C550" t="s">
        <v>10</v>
      </c>
      <c r="D550" t="s">
        <v>37</v>
      </c>
      <c r="E550" t="s">
        <v>27</v>
      </c>
      <c r="F550" t="s">
        <v>18</v>
      </c>
      <c r="G550">
        <v>7</v>
      </c>
      <c r="H550">
        <v>1075</v>
      </c>
      <c r="I550" t="str">
        <f>VLOOKUP(D550,Product_Master!A:D,2,FALSE)</f>
        <v>Mobile</v>
      </c>
      <c r="J550" t="str">
        <f>VLOOKUP(D550,Product_Master!A:D,3,FALSE)</f>
        <v>Electronics</v>
      </c>
      <c r="K550">
        <f>VLOOKUP(D550,Product_Master!A:D,4,FALSE)</f>
        <v>600</v>
      </c>
      <c r="L550" t="str">
        <f>VLOOKUP(C550,Customer_Master!A:C,2,FALSE)</f>
        <v>Suresh</v>
      </c>
      <c r="M550" t="str">
        <f>VLOOKUP(C550,Customer_Master!A:C,3,FALSE)</f>
        <v>Consumer</v>
      </c>
      <c r="N550">
        <f>Table1[[#This Row],[Quantity]]*Table1[[#This Row],[Unit_Price]]</f>
        <v>7525</v>
      </c>
      <c r="O550">
        <f>(Table1[[#This Row],[Unit_Price]]-Table1[[#This Row],[Cost_Price]])*Table1[[#This Row],[Quantity]]</f>
        <v>3325</v>
      </c>
      <c r="P550">
        <f t="shared" si="8"/>
        <v>7525</v>
      </c>
      <c r="Q550" t="str">
        <f>TEXT(Table1[[#This Row],[Order_Date]],"mmm-yyyy")</f>
        <v>Jan-2024</v>
      </c>
    </row>
    <row r="551" spans="1:17" x14ac:dyDescent="0.35">
      <c r="A551" t="s">
        <v>869</v>
      </c>
      <c r="B551" t="s">
        <v>665</v>
      </c>
      <c r="C551" t="s">
        <v>45</v>
      </c>
      <c r="D551" t="s">
        <v>11</v>
      </c>
      <c r="E551" t="s">
        <v>33</v>
      </c>
      <c r="F551" t="s">
        <v>34</v>
      </c>
      <c r="G551">
        <v>6</v>
      </c>
      <c r="H551">
        <v>1339</v>
      </c>
      <c r="I551" t="str">
        <f>VLOOKUP(D551,Product_Master!A:D,2,FALSE)</f>
        <v>Chair</v>
      </c>
      <c r="J551" t="str">
        <f>VLOOKUP(D551,Product_Master!A:D,3,FALSE)</f>
        <v>Furniture</v>
      </c>
      <c r="K551">
        <f>VLOOKUP(D551,Product_Master!A:D,4,FALSE)</f>
        <v>150</v>
      </c>
      <c r="L551" t="str">
        <f>VLOOKUP(C551,Customer_Master!A:C,2,FALSE)</f>
        <v>TCS</v>
      </c>
      <c r="M551" t="str">
        <f>VLOOKUP(C551,Customer_Master!A:C,3,FALSE)</f>
        <v>Corporate</v>
      </c>
      <c r="N551">
        <f>Table1[[#This Row],[Quantity]]*Table1[[#This Row],[Unit_Price]]</f>
        <v>8034</v>
      </c>
      <c r="O551">
        <f>(Table1[[#This Row],[Unit_Price]]-Table1[[#This Row],[Cost_Price]])*Table1[[#This Row],[Quantity]]</f>
        <v>7134</v>
      </c>
      <c r="P551">
        <f t="shared" si="8"/>
        <v>8034</v>
      </c>
      <c r="Q551" t="str">
        <f>TEXT(Table1[[#This Row],[Order_Date]],"mmm-yyyy")</f>
        <v>Aug-2024</v>
      </c>
    </row>
    <row r="552" spans="1:17" x14ac:dyDescent="0.35">
      <c r="A552" t="s">
        <v>870</v>
      </c>
      <c r="B552" t="s">
        <v>871</v>
      </c>
      <c r="C552" t="s">
        <v>30</v>
      </c>
      <c r="D552" t="s">
        <v>22</v>
      </c>
      <c r="E552" t="s">
        <v>27</v>
      </c>
      <c r="F552" t="s">
        <v>13</v>
      </c>
      <c r="G552">
        <v>4</v>
      </c>
      <c r="H552">
        <v>1681</v>
      </c>
      <c r="I552" t="str">
        <f>VLOOKUP(D552,Product_Master!A:D,2,FALSE)</f>
        <v>Desk</v>
      </c>
      <c r="J552" t="str">
        <f>VLOOKUP(D552,Product_Master!A:D,3,FALSE)</f>
        <v>Furniture</v>
      </c>
      <c r="K552">
        <f>VLOOKUP(D552,Product_Master!A:D,4,FALSE)</f>
        <v>300</v>
      </c>
      <c r="L552" t="str">
        <f>VLOOKUP(C552,Customer_Master!A:C,2,FALSE)</f>
        <v>Infosys</v>
      </c>
      <c r="M552" t="str">
        <f>VLOOKUP(C552,Customer_Master!A:C,3,FALSE)</f>
        <v>Corporate</v>
      </c>
      <c r="N552">
        <f>Table1[[#This Row],[Quantity]]*Table1[[#This Row],[Unit_Price]]</f>
        <v>6724</v>
      </c>
      <c r="O552">
        <f>(Table1[[#This Row],[Unit_Price]]-Table1[[#This Row],[Cost_Price]])*Table1[[#This Row],[Quantity]]</f>
        <v>5524</v>
      </c>
      <c r="P552">
        <f t="shared" si="8"/>
        <v>6724</v>
      </c>
      <c r="Q552" t="str">
        <f>TEXT(Table1[[#This Row],[Order_Date]],"mmm-yyyy")</f>
        <v>Jul-2024</v>
      </c>
    </row>
    <row r="553" spans="1:17" x14ac:dyDescent="0.35">
      <c r="A553" t="s">
        <v>872</v>
      </c>
      <c r="B553" t="s">
        <v>873</v>
      </c>
      <c r="C553" t="s">
        <v>21</v>
      </c>
      <c r="D553" t="s">
        <v>37</v>
      </c>
      <c r="E553" t="s">
        <v>27</v>
      </c>
      <c r="F553" t="s">
        <v>18</v>
      </c>
      <c r="G553">
        <v>9</v>
      </c>
      <c r="H553">
        <v>1140</v>
      </c>
      <c r="I553" t="str">
        <f>VLOOKUP(D553,Product_Master!A:D,2,FALSE)</f>
        <v>Mobile</v>
      </c>
      <c r="J553" t="str">
        <f>VLOOKUP(D553,Product_Master!A:D,3,FALSE)</f>
        <v>Electronics</v>
      </c>
      <c r="K553">
        <f>VLOOKUP(D553,Product_Master!A:D,4,FALSE)</f>
        <v>600</v>
      </c>
      <c r="L553" t="str">
        <f>VLOOKUP(C553,Customer_Master!A:C,2,FALSE)</f>
        <v>Reliance</v>
      </c>
      <c r="M553" t="str">
        <f>VLOOKUP(C553,Customer_Master!A:C,3,FALSE)</f>
        <v>Corporate</v>
      </c>
      <c r="N553">
        <f>Table1[[#This Row],[Quantity]]*Table1[[#This Row],[Unit_Price]]</f>
        <v>10260</v>
      </c>
      <c r="O553">
        <f>(Table1[[#This Row],[Unit_Price]]-Table1[[#This Row],[Cost_Price]])*Table1[[#This Row],[Quantity]]</f>
        <v>4860</v>
      </c>
      <c r="P553">
        <f t="shared" si="8"/>
        <v>10260</v>
      </c>
      <c r="Q553" t="str">
        <f>TEXT(Table1[[#This Row],[Order_Date]],"mmm-yyyy")</f>
        <v>Sep-2024</v>
      </c>
    </row>
    <row r="554" spans="1:17" x14ac:dyDescent="0.35">
      <c r="A554" t="s">
        <v>874</v>
      </c>
      <c r="B554" t="s">
        <v>841</v>
      </c>
      <c r="C554" t="s">
        <v>45</v>
      </c>
      <c r="D554" t="s">
        <v>11</v>
      </c>
      <c r="E554" t="s">
        <v>17</v>
      </c>
      <c r="F554" t="s">
        <v>34</v>
      </c>
      <c r="G554">
        <v>7</v>
      </c>
      <c r="H554">
        <v>1232</v>
      </c>
      <c r="I554" t="str">
        <f>VLOOKUP(D554,Product_Master!A:D,2,FALSE)</f>
        <v>Chair</v>
      </c>
      <c r="J554" t="str">
        <f>VLOOKUP(D554,Product_Master!A:D,3,FALSE)</f>
        <v>Furniture</v>
      </c>
      <c r="K554">
        <f>VLOOKUP(D554,Product_Master!A:D,4,FALSE)</f>
        <v>150</v>
      </c>
      <c r="L554" t="str">
        <f>VLOOKUP(C554,Customer_Master!A:C,2,FALSE)</f>
        <v>TCS</v>
      </c>
      <c r="M554" t="str">
        <f>VLOOKUP(C554,Customer_Master!A:C,3,FALSE)</f>
        <v>Corporate</v>
      </c>
      <c r="N554">
        <f>Table1[[#This Row],[Quantity]]*Table1[[#This Row],[Unit_Price]]</f>
        <v>8624</v>
      </c>
      <c r="O554">
        <f>(Table1[[#This Row],[Unit_Price]]-Table1[[#This Row],[Cost_Price]])*Table1[[#This Row],[Quantity]]</f>
        <v>7574</v>
      </c>
      <c r="P554">
        <f t="shared" si="8"/>
        <v>8624</v>
      </c>
      <c r="Q554" t="str">
        <f>TEXT(Table1[[#This Row],[Order_Date]],"mmm-yyyy")</f>
        <v>Oct-2024</v>
      </c>
    </row>
    <row r="555" spans="1:17" x14ac:dyDescent="0.35">
      <c r="A555" t="s">
        <v>875</v>
      </c>
      <c r="B555" t="s">
        <v>66</v>
      </c>
      <c r="C555" t="s">
        <v>30</v>
      </c>
      <c r="D555" t="s">
        <v>37</v>
      </c>
      <c r="E555" t="s">
        <v>33</v>
      </c>
      <c r="F555" t="s">
        <v>23</v>
      </c>
      <c r="G555">
        <v>10</v>
      </c>
      <c r="H555">
        <v>1607</v>
      </c>
      <c r="I555" t="str">
        <f>VLOOKUP(D555,Product_Master!A:D,2,FALSE)</f>
        <v>Mobile</v>
      </c>
      <c r="J555" t="str">
        <f>VLOOKUP(D555,Product_Master!A:D,3,FALSE)</f>
        <v>Electronics</v>
      </c>
      <c r="K555">
        <f>VLOOKUP(D555,Product_Master!A:D,4,FALSE)</f>
        <v>600</v>
      </c>
      <c r="L555" t="str">
        <f>VLOOKUP(C555,Customer_Master!A:C,2,FALSE)</f>
        <v>Infosys</v>
      </c>
      <c r="M555" t="str">
        <f>VLOOKUP(C555,Customer_Master!A:C,3,FALSE)</f>
        <v>Corporate</v>
      </c>
      <c r="N555">
        <f>Table1[[#This Row],[Quantity]]*Table1[[#This Row],[Unit_Price]]</f>
        <v>16070</v>
      </c>
      <c r="O555">
        <f>(Table1[[#This Row],[Unit_Price]]-Table1[[#This Row],[Cost_Price]])*Table1[[#This Row],[Quantity]]</f>
        <v>10070</v>
      </c>
      <c r="P555">
        <f t="shared" si="8"/>
        <v>16070</v>
      </c>
      <c r="Q555" t="str">
        <f>TEXT(Table1[[#This Row],[Order_Date]],"mmm-yyyy")</f>
        <v>Apr-2024</v>
      </c>
    </row>
    <row r="556" spans="1:17" x14ac:dyDescent="0.35">
      <c r="A556" t="s">
        <v>876</v>
      </c>
      <c r="B556" t="s">
        <v>877</v>
      </c>
      <c r="C556" t="s">
        <v>45</v>
      </c>
      <c r="D556" t="s">
        <v>37</v>
      </c>
      <c r="E556" t="s">
        <v>12</v>
      </c>
      <c r="F556" t="s">
        <v>13</v>
      </c>
      <c r="G556">
        <v>7</v>
      </c>
      <c r="H556">
        <v>1193</v>
      </c>
      <c r="I556" t="str">
        <f>VLOOKUP(D556,Product_Master!A:D,2,FALSE)</f>
        <v>Mobile</v>
      </c>
      <c r="J556" t="str">
        <f>VLOOKUP(D556,Product_Master!A:D,3,FALSE)</f>
        <v>Electronics</v>
      </c>
      <c r="K556">
        <f>VLOOKUP(D556,Product_Master!A:D,4,FALSE)</f>
        <v>600</v>
      </c>
      <c r="L556" t="str">
        <f>VLOOKUP(C556,Customer_Master!A:C,2,FALSE)</f>
        <v>TCS</v>
      </c>
      <c r="M556" t="str">
        <f>VLOOKUP(C556,Customer_Master!A:C,3,FALSE)</f>
        <v>Corporate</v>
      </c>
      <c r="N556">
        <f>Table1[[#This Row],[Quantity]]*Table1[[#This Row],[Unit_Price]]</f>
        <v>8351</v>
      </c>
      <c r="O556">
        <f>(Table1[[#This Row],[Unit_Price]]-Table1[[#This Row],[Cost_Price]])*Table1[[#This Row],[Quantity]]</f>
        <v>4151</v>
      </c>
      <c r="P556">
        <f t="shared" si="8"/>
        <v>8351</v>
      </c>
      <c r="Q556" t="str">
        <f>TEXT(Table1[[#This Row],[Order_Date]],"mmm-yyyy")</f>
        <v>Sep-2024</v>
      </c>
    </row>
    <row r="557" spans="1:17" x14ac:dyDescent="0.35">
      <c r="A557" t="s">
        <v>878</v>
      </c>
      <c r="B557" t="s">
        <v>246</v>
      </c>
      <c r="C557" t="s">
        <v>21</v>
      </c>
      <c r="D557" t="s">
        <v>22</v>
      </c>
      <c r="E557" t="s">
        <v>33</v>
      </c>
      <c r="F557" t="s">
        <v>13</v>
      </c>
      <c r="G557">
        <v>7</v>
      </c>
      <c r="H557">
        <v>1642</v>
      </c>
      <c r="I557" t="str">
        <f>VLOOKUP(D557,Product_Master!A:D,2,FALSE)</f>
        <v>Desk</v>
      </c>
      <c r="J557" t="str">
        <f>VLOOKUP(D557,Product_Master!A:D,3,FALSE)</f>
        <v>Furniture</v>
      </c>
      <c r="K557">
        <f>VLOOKUP(D557,Product_Master!A:D,4,FALSE)</f>
        <v>300</v>
      </c>
      <c r="L557" t="str">
        <f>VLOOKUP(C557,Customer_Master!A:C,2,FALSE)</f>
        <v>Reliance</v>
      </c>
      <c r="M557" t="str">
        <f>VLOOKUP(C557,Customer_Master!A:C,3,FALSE)</f>
        <v>Corporate</v>
      </c>
      <c r="N557">
        <f>Table1[[#This Row],[Quantity]]*Table1[[#This Row],[Unit_Price]]</f>
        <v>11494</v>
      </c>
      <c r="O557">
        <f>(Table1[[#This Row],[Unit_Price]]-Table1[[#This Row],[Cost_Price]])*Table1[[#This Row],[Quantity]]</f>
        <v>9394</v>
      </c>
      <c r="P557">
        <f t="shared" si="8"/>
        <v>11494</v>
      </c>
      <c r="Q557" t="str">
        <f>TEXT(Table1[[#This Row],[Order_Date]],"mmm-yyyy")</f>
        <v>Jul-2024</v>
      </c>
    </row>
    <row r="558" spans="1:17" x14ac:dyDescent="0.35">
      <c r="A558" t="s">
        <v>879</v>
      </c>
      <c r="B558" t="s">
        <v>323</v>
      </c>
      <c r="C558" t="s">
        <v>45</v>
      </c>
      <c r="D558" t="s">
        <v>16</v>
      </c>
      <c r="E558" t="s">
        <v>27</v>
      </c>
      <c r="F558" t="s">
        <v>13</v>
      </c>
      <c r="G558">
        <v>9</v>
      </c>
      <c r="H558">
        <v>1490</v>
      </c>
      <c r="I558" t="str">
        <f>VLOOKUP(D558,Product_Master!A:D,2,FALSE)</f>
        <v>Printer</v>
      </c>
      <c r="J558" t="str">
        <f>VLOOKUP(D558,Product_Master!A:D,3,FALSE)</f>
        <v>Electronics</v>
      </c>
      <c r="K558">
        <f>VLOOKUP(D558,Product_Master!A:D,4,FALSE)</f>
        <v>1100</v>
      </c>
      <c r="L558" t="str">
        <f>VLOOKUP(C558,Customer_Master!A:C,2,FALSE)</f>
        <v>TCS</v>
      </c>
      <c r="M558" t="str">
        <f>VLOOKUP(C558,Customer_Master!A:C,3,FALSE)</f>
        <v>Corporate</v>
      </c>
      <c r="N558">
        <f>Table1[[#This Row],[Quantity]]*Table1[[#This Row],[Unit_Price]]</f>
        <v>13410</v>
      </c>
      <c r="O558">
        <f>(Table1[[#This Row],[Unit_Price]]-Table1[[#This Row],[Cost_Price]])*Table1[[#This Row],[Quantity]]</f>
        <v>3510</v>
      </c>
      <c r="P558">
        <f t="shared" si="8"/>
        <v>13410</v>
      </c>
      <c r="Q558" t="str">
        <f>TEXT(Table1[[#This Row],[Order_Date]],"mmm-yyyy")</f>
        <v>Jun-2024</v>
      </c>
    </row>
    <row r="559" spans="1:17" x14ac:dyDescent="0.35">
      <c r="A559" t="s">
        <v>880</v>
      </c>
      <c r="B559" t="s">
        <v>881</v>
      </c>
      <c r="C559" t="s">
        <v>45</v>
      </c>
      <c r="D559" t="s">
        <v>26</v>
      </c>
      <c r="E559" t="s">
        <v>33</v>
      </c>
      <c r="F559" t="s">
        <v>34</v>
      </c>
      <c r="G559">
        <v>4</v>
      </c>
      <c r="H559">
        <v>1516</v>
      </c>
      <c r="I559" t="str">
        <f>VLOOKUP(D559,Product_Master!A:D,2,FALSE)</f>
        <v>Laptop</v>
      </c>
      <c r="J559" t="str">
        <f>VLOOKUP(D559,Product_Master!A:D,3,FALSE)</f>
        <v>Electronics</v>
      </c>
      <c r="K559">
        <f>VLOOKUP(D559,Product_Master!A:D,4,FALSE)</f>
        <v>900</v>
      </c>
      <c r="L559" t="str">
        <f>VLOOKUP(C559,Customer_Master!A:C,2,FALSE)</f>
        <v>TCS</v>
      </c>
      <c r="M559" t="str">
        <f>VLOOKUP(C559,Customer_Master!A:C,3,FALSE)</f>
        <v>Corporate</v>
      </c>
      <c r="N559">
        <f>Table1[[#This Row],[Quantity]]*Table1[[#This Row],[Unit_Price]]</f>
        <v>6064</v>
      </c>
      <c r="O559">
        <f>(Table1[[#This Row],[Unit_Price]]-Table1[[#This Row],[Cost_Price]])*Table1[[#This Row],[Quantity]]</f>
        <v>2464</v>
      </c>
      <c r="P559">
        <f t="shared" si="8"/>
        <v>6064</v>
      </c>
      <c r="Q559" t="str">
        <f>TEXT(Table1[[#This Row],[Order_Date]],"mmm-yyyy")</f>
        <v>Apr-2024</v>
      </c>
    </row>
    <row r="560" spans="1:17" x14ac:dyDescent="0.35">
      <c r="A560" t="s">
        <v>882</v>
      </c>
      <c r="B560" t="s">
        <v>382</v>
      </c>
      <c r="C560" t="s">
        <v>10</v>
      </c>
      <c r="D560" t="s">
        <v>22</v>
      </c>
      <c r="E560" t="s">
        <v>33</v>
      </c>
      <c r="F560" t="s">
        <v>34</v>
      </c>
      <c r="G560">
        <v>2</v>
      </c>
      <c r="H560">
        <v>1029</v>
      </c>
      <c r="I560" t="str">
        <f>VLOOKUP(D560,Product_Master!A:D,2,FALSE)</f>
        <v>Desk</v>
      </c>
      <c r="J560" t="str">
        <f>VLOOKUP(D560,Product_Master!A:D,3,FALSE)</f>
        <v>Furniture</v>
      </c>
      <c r="K560">
        <f>VLOOKUP(D560,Product_Master!A:D,4,FALSE)</f>
        <v>300</v>
      </c>
      <c r="L560" t="str">
        <f>VLOOKUP(C560,Customer_Master!A:C,2,FALSE)</f>
        <v>Suresh</v>
      </c>
      <c r="M560" t="str">
        <f>VLOOKUP(C560,Customer_Master!A:C,3,FALSE)</f>
        <v>Consumer</v>
      </c>
      <c r="N560">
        <f>Table1[[#This Row],[Quantity]]*Table1[[#This Row],[Unit_Price]]</f>
        <v>2058</v>
      </c>
      <c r="O560">
        <f>(Table1[[#This Row],[Unit_Price]]-Table1[[#This Row],[Cost_Price]])*Table1[[#This Row],[Quantity]]</f>
        <v>1458</v>
      </c>
      <c r="P560">
        <f t="shared" si="8"/>
        <v>2058</v>
      </c>
      <c r="Q560" t="str">
        <f>TEXT(Table1[[#This Row],[Order_Date]],"mmm-yyyy")</f>
        <v>Feb-2024</v>
      </c>
    </row>
    <row r="561" spans="1:17" x14ac:dyDescent="0.35">
      <c r="A561" t="s">
        <v>883</v>
      </c>
      <c r="B561" t="s">
        <v>750</v>
      </c>
      <c r="C561" t="s">
        <v>21</v>
      </c>
      <c r="D561" t="s">
        <v>16</v>
      </c>
      <c r="E561" t="s">
        <v>12</v>
      </c>
      <c r="F561" t="s">
        <v>34</v>
      </c>
      <c r="G561">
        <v>2</v>
      </c>
      <c r="H561">
        <v>1242</v>
      </c>
      <c r="I561" t="str">
        <f>VLOOKUP(D561,Product_Master!A:D,2,FALSE)</f>
        <v>Printer</v>
      </c>
      <c r="J561" t="str">
        <f>VLOOKUP(D561,Product_Master!A:D,3,FALSE)</f>
        <v>Electronics</v>
      </c>
      <c r="K561">
        <f>VLOOKUP(D561,Product_Master!A:D,4,FALSE)</f>
        <v>1100</v>
      </c>
      <c r="L561" t="str">
        <f>VLOOKUP(C561,Customer_Master!A:C,2,FALSE)</f>
        <v>Reliance</v>
      </c>
      <c r="M561" t="str">
        <f>VLOOKUP(C561,Customer_Master!A:C,3,FALSE)</f>
        <v>Corporate</v>
      </c>
      <c r="N561">
        <f>Table1[[#This Row],[Quantity]]*Table1[[#This Row],[Unit_Price]]</f>
        <v>2484</v>
      </c>
      <c r="O561">
        <f>(Table1[[#This Row],[Unit_Price]]-Table1[[#This Row],[Cost_Price]])*Table1[[#This Row],[Quantity]]</f>
        <v>284</v>
      </c>
      <c r="P561">
        <f t="shared" si="8"/>
        <v>2484</v>
      </c>
      <c r="Q561" t="str">
        <f>TEXT(Table1[[#This Row],[Order_Date]],"mmm-yyyy")</f>
        <v>Apr-2024</v>
      </c>
    </row>
    <row r="562" spans="1:17" x14ac:dyDescent="0.35">
      <c r="A562" t="s">
        <v>884</v>
      </c>
      <c r="B562" t="s">
        <v>305</v>
      </c>
      <c r="C562" t="s">
        <v>10</v>
      </c>
      <c r="D562" t="s">
        <v>22</v>
      </c>
      <c r="E562" t="s">
        <v>17</v>
      </c>
      <c r="F562" t="s">
        <v>18</v>
      </c>
      <c r="G562">
        <v>6</v>
      </c>
      <c r="H562">
        <v>1410</v>
      </c>
      <c r="I562" t="str">
        <f>VLOOKUP(D562,Product_Master!A:D,2,FALSE)</f>
        <v>Desk</v>
      </c>
      <c r="J562" t="str">
        <f>VLOOKUP(D562,Product_Master!A:D,3,FALSE)</f>
        <v>Furniture</v>
      </c>
      <c r="K562">
        <f>VLOOKUP(D562,Product_Master!A:D,4,FALSE)</f>
        <v>300</v>
      </c>
      <c r="L562" t="str">
        <f>VLOOKUP(C562,Customer_Master!A:C,2,FALSE)</f>
        <v>Suresh</v>
      </c>
      <c r="M562" t="str">
        <f>VLOOKUP(C562,Customer_Master!A:C,3,FALSE)</f>
        <v>Consumer</v>
      </c>
      <c r="N562">
        <f>Table1[[#This Row],[Quantity]]*Table1[[#This Row],[Unit_Price]]</f>
        <v>8460</v>
      </c>
      <c r="O562">
        <f>(Table1[[#This Row],[Unit_Price]]-Table1[[#This Row],[Cost_Price]])*Table1[[#This Row],[Quantity]]</f>
        <v>6660</v>
      </c>
      <c r="P562">
        <f t="shared" si="8"/>
        <v>8460</v>
      </c>
      <c r="Q562" t="str">
        <f>TEXT(Table1[[#This Row],[Order_Date]],"mmm-yyyy")</f>
        <v>Nov-2024</v>
      </c>
    </row>
    <row r="563" spans="1:17" x14ac:dyDescent="0.35">
      <c r="A563" t="s">
        <v>885</v>
      </c>
      <c r="B563" t="s">
        <v>679</v>
      </c>
      <c r="C563" t="s">
        <v>21</v>
      </c>
      <c r="D563" t="s">
        <v>37</v>
      </c>
      <c r="E563" t="s">
        <v>17</v>
      </c>
      <c r="F563" t="s">
        <v>18</v>
      </c>
      <c r="G563">
        <v>1</v>
      </c>
      <c r="H563">
        <v>1393</v>
      </c>
      <c r="I563" t="str">
        <f>VLOOKUP(D563,Product_Master!A:D,2,FALSE)</f>
        <v>Mobile</v>
      </c>
      <c r="J563" t="str">
        <f>VLOOKUP(D563,Product_Master!A:D,3,FALSE)</f>
        <v>Electronics</v>
      </c>
      <c r="K563">
        <f>VLOOKUP(D563,Product_Master!A:D,4,FALSE)</f>
        <v>600</v>
      </c>
      <c r="L563" t="str">
        <f>VLOOKUP(C563,Customer_Master!A:C,2,FALSE)</f>
        <v>Reliance</v>
      </c>
      <c r="M563" t="str">
        <f>VLOOKUP(C563,Customer_Master!A:C,3,FALSE)</f>
        <v>Corporate</v>
      </c>
      <c r="N563">
        <f>Table1[[#This Row],[Quantity]]*Table1[[#This Row],[Unit_Price]]</f>
        <v>1393</v>
      </c>
      <c r="O563">
        <f>(Table1[[#This Row],[Unit_Price]]-Table1[[#This Row],[Cost_Price]])*Table1[[#This Row],[Quantity]]</f>
        <v>793</v>
      </c>
      <c r="P563">
        <f t="shared" si="8"/>
        <v>1393</v>
      </c>
      <c r="Q563" t="str">
        <f>TEXT(Table1[[#This Row],[Order_Date]],"mmm-yyyy")</f>
        <v>Dec-2024</v>
      </c>
    </row>
    <row r="564" spans="1:17" x14ac:dyDescent="0.35">
      <c r="A564" t="s">
        <v>886</v>
      </c>
      <c r="B564" t="s">
        <v>290</v>
      </c>
      <c r="C564" t="s">
        <v>42</v>
      </c>
      <c r="D564" t="s">
        <v>26</v>
      </c>
      <c r="E564" t="s">
        <v>12</v>
      </c>
      <c r="F564" t="s">
        <v>23</v>
      </c>
      <c r="G564">
        <v>4</v>
      </c>
      <c r="H564">
        <v>1958</v>
      </c>
      <c r="I564" t="str">
        <f>VLOOKUP(D564,Product_Master!A:D,2,FALSE)</f>
        <v>Laptop</v>
      </c>
      <c r="J564" t="str">
        <f>VLOOKUP(D564,Product_Master!A:D,3,FALSE)</f>
        <v>Electronics</v>
      </c>
      <c r="K564">
        <f>VLOOKUP(D564,Product_Master!A:D,4,FALSE)</f>
        <v>900</v>
      </c>
      <c r="L564" t="str">
        <f>VLOOKUP(C564,Customer_Master!A:C,2,FALSE)</f>
        <v>Ramesh</v>
      </c>
      <c r="M564" t="str">
        <f>VLOOKUP(C564,Customer_Master!A:C,3,FALSE)</f>
        <v>Consumer</v>
      </c>
      <c r="N564">
        <f>Table1[[#This Row],[Quantity]]*Table1[[#This Row],[Unit_Price]]</f>
        <v>7832</v>
      </c>
      <c r="O564">
        <f>(Table1[[#This Row],[Unit_Price]]-Table1[[#This Row],[Cost_Price]])*Table1[[#This Row],[Quantity]]</f>
        <v>4232</v>
      </c>
      <c r="P564">
        <f t="shared" si="8"/>
        <v>7832</v>
      </c>
      <c r="Q564" t="str">
        <f>TEXT(Table1[[#This Row],[Order_Date]],"mmm-yyyy")</f>
        <v>May-2024</v>
      </c>
    </row>
    <row r="565" spans="1:17" x14ac:dyDescent="0.35">
      <c r="A565" t="s">
        <v>887</v>
      </c>
      <c r="B565" t="s">
        <v>64</v>
      </c>
      <c r="C565" t="s">
        <v>21</v>
      </c>
      <c r="D565" t="s">
        <v>26</v>
      </c>
      <c r="E565" t="s">
        <v>27</v>
      </c>
      <c r="F565" t="s">
        <v>23</v>
      </c>
      <c r="G565">
        <v>2</v>
      </c>
      <c r="H565">
        <v>839</v>
      </c>
      <c r="I565" t="str">
        <f>VLOOKUP(D565,Product_Master!A:D,2,FALSE)</f>
        <v>Laptop</v>
      </c>
      <c r="J565" t="str">
        <f>VLOOKUP(D565,Product_Master!A:D,3,FALSE)</f>
        <v>Electronics</v>
      </c>
      <c r="K565">
        <f>VLOOKUP(D565,Product_Master!A:D,4,FALSE)</f>
        <v>900</v>
      </c>
      <c r="L565" t="str">
        <f>VLOOKUP(C565,Customer_Master!A:C,2,FALSE)</f>
        <v>Reliance</v>
      </c>
      <c r="M565" t="str">
        <f>VLOOKUP(C565,Customer_Master!A:C,3,FALSE)</f>
        <v>Corporate</v>
      </c>
      <c r="N565">
        <f>Table1[[#This Row],[Quantity]]*Table1[[#This Row],[Unit_Price]]</f>
        <v>1678</v>
      </c>
      <c r="O565">
        <f>(Table1[[#This Row],[Unit_Price]]-Table1[[#This Row],[Cost_Price]])*Table1[[#This Row],[Quantity]]</f>
        <v>-122</v>
      </c>
      <c r="P565">
        <f t="shared" si="8"/>
        <v>1678</v>
      </c>
      <c r="Q565" t="str">
        <f>TEXT(Table1[[#This Row],[Order_Date]],"mmm-yyyy")</f>
        <v>Nov-2024</v>
      </c>
    </row>
    <row r="566" spans="1:17" x14ac:dyDescent="0.35">
      <c r="A566" t="s">
        <v>888</v>
      </c>
      <c r="B566" t="s">
        <v>368</v>
      </c>
      <c r="C566" t="s">
        <v>30</v>
      </c>
      <c r="D566" t="s">
        <v>37</v>
      </c>
      <c r="E566" t="s">
        <v>33</v>
      </c>
      <c r="F566" t="s">
        <v>34</v>
      </c>
      <c r="G566">
        <v>7</v>
      </c>
      <c r="H566">
        <v>1001</v>
      </c>
      <c r="I566" t="str">
        <f>VLOOKUP(D566,Product_Master!A:D,2,FALSE)</f>
        <v>Mobile</v>
      </c>
      <c r="J566" t="str">
        <f>VLOOKUP(D566,Product_Master!A:D,3,FALSE)</f>
        <v>Electronics</v>
      </c>
      <c r="K566">
        <f>VLOOKUP(D566,Product_Master!A:D,4,FALSE)</f>
        <v>600</v>
      </c>
      <c r="L566" t="str">
        <f>VLOOKUP(C566,Customer_Master!A:C,2,FALSE)</f>
        <v>Infosys</v>
      </c>
      <c r="M566" t="str">
        <f>VLOOKUP(C566,Customer_Master!A:C,3,FALSE)</f>
        <v>Corporate</v>
      </c>
      <c r="N566">
        <f>Table1[[#This Row],[Quantity]]*Table1[[#This Row],[Unit_Price]]</f>
        <v>7007</v>
      </c>
      <c r="O566">
        <f>(Table1[[#This Row],[Unit_Price]]-Table1[[#This Row],[Cost_Price]])*Table1[[#This Row],[Quantity]]</f>
        <v>2807</v>
      </c>
      <c r="P566">
        <f t="shared" si="8"/>
        <v>7007</v>
      </c>
      <c r="Q566" t="str">
        <f>TEXT(Table1[[#This Row],[Order_Date]],"mmm-yyyy")</f>
        <v>Oct-2024</v>
      </c>
    </row>
    <row r="567" spans="1:17" x14ac:dyDescent="0.35">
      <c r="A567" t="s">
        <v>889</v>
      </c>
      <c r="B567" t="s">
        <v>198</v>
      </c>
      <c r="C567" t="s">
        <v>42</v>
      </c>
      <c r="D567" t="s">
        <v>37</v>
      </c>
      <c r="E567" t="s">
        <v>27</v>
      </c>
      <c r="F567" t="s">
        <v>13</v>
      </c>
      <c r="G567">
        <v>4</v>
      </c>
      <c r="H567">
        <v>1298</v>
      </c>
      <c r="I567" t="str">
        <f>VLOOKUP(D567,Product_Master!A:D,2,FALSE)</f>
        <v>Mobile</v>
      </c>
      <c r="J567" t="str">
        <f>VLOOKUP(D567,Product_Master!A:D,3,FALSE)</f>
        <v>Electronics</v>
      </c>
      <c r="K567">
        <f>VLOOKUP(D567,Product_Master!A:D,4,FALSE)</f>
        <v>600</v>
      </c>
      <c r="L567" t="str">
        <f>VLOOKUP(C567,Customer_Master!A:C,2,FALSE)</f>
        <v>Ramesh</v>
      </c>
      <c r="M567" t="str">
        <f>VLOOKUP(C567,Customer_Master!A:C,3,FALSE)</f>
        <v>Consumer</v>
      </c>
      <c r="N567">
        <f>Table1[[#This Row],[Quantity]]*Table1[[#This Row],[Unit_Price]]</f>
        <v>5192</v>
      </c>
      <c r="O567">
        <f>(Table1[[#This Row],[Unit_Price]]-Table1[[#This Row],[Cost_Price]])*Table1[[#This Row],[Quantity]]</f>
        <v>2792</v>
      </c>
      <c r="P567">
        <f t="shared" si="8"/>
        <v>5192</v>
      </c>
      <c r="Q567" t="str">
        <f>TEXT(Table1[[#This Row],[Order_Date]],"mmm-yyyy")</f>
        <v>Jun-2024</v>
      </c>
    </row>
    <row r="568" spans="1:17" x14ac:dyDescent="0.35">
      <c r="A568" t="s">
        <v>890</v>
      </c>
      <c r="B568" t="s">
        <v>589</v>
      </c>
      <c r="C568" t="s">
        <v>45</v>
      </c>
      <c r="D568" t="s">
        <v>11</v>
      </c>
      <c r="E568" t="s">
        <v>27</v>
      </c>
      <c r="F568" t="s">
        <v>18</v>
      </c>
      <c r="G568">
        <v>1</v>
      </c>
      <c r="H568">
        <v>1601</v>
      </c>
      <c r="I568" t="str">
        <f>VLOOKUP(D568,Product_Master!A:D,2,FALSE)</f>
        <v>Chair</v>
      </c>
      <c r="J568" t="str">
        <f>VLOOKUP(D568,Product_Master!A:D,3,FALSE)</f>
        <v>Furniture</v>
      </c>
      <c r="K568">
        <f>VLOOKUP(D568,Product_Master!A:D,4,FALSE)</f>
        <v>150</v>
      </c>
      <c r="L568" t="str">
        <f>VLOOKUP(C568,Customer_Master!A:C,2,FALSE)</f>
        <v>TCS</v>
      </c>
      <c r="M568" t="str">
        <f>VLOOKUP(C568,Customer_Master!A:C,3,FALSE)</f>
        <v>Corporate</v>
      </c>
      <c r="N568">
        <f>Table1[[#This Row],[Quantity]]*Table1[[#This Row],[Unit_Price]]</f>
        <v>1601</v>
      </c>
      <c r="O568">
        <f>(Table1[[#This Row],[Unit_Price]]-Table1[[#This Row],[Cost_Price]])*Table1[[#This Row],[Quantity]]</f>
        <v>1451</v>
      </c>
      <c r="P568">
        <f t="shared" si="8"/>
        <v>1601</v>
      </c>
      <c r="Q568" t="str">
        <f>TEXT(Table1[[#This Row],[Order_Date]],"mmm-yyyy")</f>
        <v>Sep-2024</v>
      </c>
    </row>
    <row r="569" spans="1:17" x14ac:dyDescent="0.35">
      <c r="A569" t="s">
        <v>891</v>
      </c>
      <c r="B569" t="s">
        <v>638</v>
      </c>
      <c r="C569" t="s">
        <v>21</v>
      </c>
      <c r="D569" t="s">
        <v>22</v>
      </c>
      <c r="E569" t="s">
        <v>17</v>
      </c>
      <c r="F569" t="s">
        <v>18</v>
      </c>
      <c r="G569">
        <v>5</v>
      </c>
      <c r="H569">
        <v>1754</v>
      </c>
      <c r="I569" t="str">
        <f>VLOOKUP(D569,Product_Master!A:D,2,FALSE)</f>
        <v>Desk</v>
      </c>
      <c r="J569" t="str">
        <f>VLOOKUP(D569,Product_Master!A:D,3,FALSE)</f>
        <v>Furniture</v>
      </c>
      <c r="K569">
        <f>VLOOKUP(D569,Product_Master!A:D,4,FALSE)</f>
        <v>300</v>
      </c>
      <c r="L569" t="str">
        <f>VLOOKUP(C569,Customer_Master!A:C,2,FALSE)</f>
        <v>Reliance</v>
      </c>
      <c r="M569" t="str">
        <f>VLOOKUP(C569,Customer_Master!A:C,3,FALSE)</f>
        <v>Corporate</v>
      </c>
      <c r="N569">
        <f>Table1[[#This Row],[Quantity]]*Table1[[#This Row],[Unit_Price]]</f>
        <v>8770</v>
      </c>
      <c r="O569">
        <f>(Table1[[#This Row],[Unit_Price]]-Table1[[#This Row],[Cost_Price]])*Table1[[#This Row],[Quantity]]</f>
        <v>7270</v>
      </c>
      <c r="P569">
        <f t="shared" si="8"/>
        <v>8770</v>
      </c>
      <c r="Q569" t="str">
        <f>TEXT(Table1[[#This Row],[Order_Date]],"mmm-yyyy")</f>
        <v>Feb-2024</v>
      </c>
    </row>
    <row r="570" spans="1:17" x14ac:dyDescent="0.35">
      <c r="A570" t="s">
        <v>892</v>
      </c>
      <c r="B570" t="s">
        <v>92</v>
      </c>
      <c r="C570" t="s">
        <v>21</v>
      </c>
      <c r="D570" t="s">
        <v>22</v>
      </c>
      <c r="E570" t="s">
        <v>12</v>
      </c>
      <c r="F570" t="s">
        <v>23</v>
      </c>
      <c r="G570">
        <v>3</v>
      </c>
      <c r="H570">
        <v>1208</v>
      </c>
      <c r="I570" t="str">
        <f>VLOOKUP(D570,Product_Master!A:D,2,FALSE)</f>
        <v>Desk</v>
      </c>
      <c r="J570" t="str">
        <f>VLOOKUP(D570,Product_Master!A:D,3,FALSE)</f>
        <v>Furniture</v>
      </c>
      <c r="K570">
        <f>VLOOKUP(D570,Product_Master!A:D,4,FALSE)</f>
        <v>300</v>
      </c>
      <c r="L570" t="str">
        <f>VLOOKUP(C570,Customer_Master!A:C,2,FALSE)</f>
        <v>Reliance</v>
      </c>
      <c r="M570" t="str">
        <f>VLOOKUP(C570,Customer_Master!A:C,3,FALSE)</f>
        <v>Corporate</v>
      </c>
      <c r="N570">
        <f>Table1[[#This Row],[Quantity]]*Table1[[#This Row],[Unit_Price]]</f>
        <v>3624</v>
      </c>
      <c r="O570">
        <f>(Table1[[#This Row],[Unit_Price]]-Table1[[#This Row],[Cost_Price]])*Table1[[#This Row],[Quantity]]</f>
        <v>2724</v>
      </c>
      <c r="P570">
        <f t="shared" si="8"/>
        <v>3624</v>
      </c>
      <c r="Q570" t="str">
        <f>TEXT(Table1[[#This Row],[Order_Date]],"mmm-yyyy")</f>
        <v>Oct-2024</v>
      </c>
    </row>
    <row r="571" spans="1:17" x14ac:dyDescent="0.35">
      <c r="A571" t="s">
        <v>893</v>
      </c>
      <c r="B571" t="s">
        <v>173</v>
      </c>
      <c r="C571" t="s">
        <v>21</v>
      </c>
      <c r="D571" t="s">
        <v>16</v>
      </c>
      <c r="E571" t="s">
        <v>17</v>
      </c>
      <c r="F571" t="s">
        <v>18</v>
      </c>
      <c r="G571">
        <v>3</v>
      </c>
      <c r="H571">
        <v>1824</v>
      </c>
      <c r="I571" t="str">
        <f>VLOOKUP(D571,Product_Master!A:D,2,FALSE)</f>
        <v>Printer</v>
      </c>
      <c r="J571" t="str">
        <f>VLOOKUP(D571,Product_Master!A:D,3,FALSE)</f>
        <v>Electronics</v>
      </c>
      <c r="K571">
        <f>VLOOKUP(D571,Product_Master!A:D,4,FALSE)</f>
        <v>1100</v>
      </c>
      <c r="L571" t="str">
        <f>VLOOKUP(C571,Customer_Master!A:C,2,FALSE)</f>
        <v>Reliance</v>
      </c>
      <c r="M571" t="str">
        <f>VLOOKUP(C571,Customer_Master!A:C,3,FALSE)</f>
        <v>Corporate</v>
      </c>
      <c r="N571">
        <f>Table1[[#This Row],[Quantity]]*Table1[[#This Row],[Unit_Price]]</f>
        <v>5472</v>
      </c>
      <c r="O571">
        <f>(Table1[[#This Row],[Unit_Price]]-Table1[[#This Row],[Cost_Price]])*Table1[[#This Row],[Quantity]]</f>
        <v>2172</v>
      </c>
      <c r="P571">
        <f t="shared" si="8"/>
        <v>5472</v>
      </c>
      <c r="Q571" t="str">
        <f>TEXT(Table1[[#This Row],[Order_Date]],"mmm-yyyy")</f>
        <v>Oct-2024</v>
      </c>
    </row>
    <row r="572" spans="1:17" x14ac:dyDescent="0.35">
      <c r="A572" t="s">
        <v>894</v>
      </c>
      <c r="B572" t="s">
        <v>895</v>
      </c>
      <c r="C572" t="s">
        <v>21</v>
      </c>
      <c r="D572" t="s">
        <v>22</v>
      </c>
      <c r="E572" t="s">
        <v>17</v>
      </c>
      <c r="F572" t="s">
        <v>23</v>
      </c>
      <c r="G572">
        <v>3</v>
      </c>
      <c r="H572">
        <v>984</v>
      </c>
      <c r="I572" t="str">
        <f>VLOOKUP(D572,Product_Master!A:D,2,FALSE)</f>
        <v>Desk</v>
      </c>
      <c r="J572" t="str">
        <f>VLOOKUP(D572,Product_Master!A:D,3,FALSE)</f>
        <v>Furniture</v>
      </c>
      <c r="K572">
        <f>VLOOKUP(D572,Product_Master!A:D,4,FALSE)</f>
        <v>300</v>
      </c>
      <c r="L572" t="str">
        <f>VLOOKUP(C572,Customer_Master!A:C,2,FALSE)</f>
        <v>Reliance</v>
      </c>
      <c r="M572" t="str">
        <f>VLOOKUP(C572,Customer_Master!A:C,3,FALSE)</f>
        <v>Corporate</v>
      </c>
      <c r="N572">
        <f>Table1[[#This Row],[Quantity]]*Table1[[#This Row],[Unit_Price]]</f>
        <v>2952</v>
      </c>
      <c r="O572">
        <f>(Table1[[#This Row],[Unit_Price]]-Table1[[#This Row],[Cost_Price]])*Table1[[#This Row],[Quantity]]</f>
        <v>2052</v>
      </c>
      <c r="P572">
        <f t="shared" si="8"/>
        <v>2952</v>
      </c>
      <c r="Q572" t="str">
        <f>TEXT(Table1[[#This Row],[Order_Date]],"mmm-yyyy")</f>
        <v>Feb-2024</v>
      </c>
    </row>
    <row r="573" spans="1:17" x14ac:dyDescent="0.35">
      <c r="A573" t="s">
        <v>896</v>
      </c>
      <c r="B573" t="s">
        <v>88</v>
      </c>
      <c r="C573" t="s">
        <v>45</v>
      </c>
      <c r="D573" t="s">
        <v>26</v>
      </c>
      <c r="E573" t="s">
        <v>27</v>
      </c>
      <c r="F573" t="s">
        <v>34</v>
      </c>
      <c r="G573">
        <v>2</v>
      </c>
      <c r="H573">
        <v>1778</v>
      </c>
      <c r="I573" t="str">
        <f>VLOOKUP(D573,Product_Master!A:D,2,FALSE)</f>
        <v>Laptop</v>
      </c>
      <c r="J573" t="str">
        <f>VLOOKUP(D573,Product_Master!A:D,3,FALSE)</f>
        <v>Electronics</v>
      </c>
      <c r="K573">
        <f>VLOOKUP(D573,Product_Master!A:D,4,FALSE)</f>
        <v>900</v>
      </c>
      <c r="L573" t="str">
        <f>VLOOKUP(C573,Customer_Master!A:C,2,FALSE)</f>
        <v>TCS</v>
      </c>
      <c r="M573" t="str">
        <f>VLOOKUP(C573,Customer_Master!A:C,3,FALSE)</f>
        <v>Corporate</v>
      </c>
      <c r="N573">
        <f>Table1[[#This Row],[Quantity]]*Table1[[#This Row],[Unit_Price]]</f>
        <v>3556</v>
      </c>
      <c r="O573">
        <f>(Table1[[#This Row],[Unit_Price]]-Table1[[#This Row],[Cost_Price]])*Table1[[#This Row],[Quantity]]</f>
        <v>1756</v>
      </c>
      <c r="P573">
        <f t="shared" si="8"/>
        <v>3556</v>
      </c>
      <c r="Q573" t="str">
        <f>TEXT(Table1[[#This Row],[Order_Date]],"mmm-yyyy")</f>
        <v>Jul-2024</v>
      </c>
    </row>
    <row r="574" spans="1:17" x14ac:dyDescent="0.35">
      <c r="A574" t="s">
        <v>897</v>
      </c>
      <c r="B574" t="s">
        <v>799</v>
      </c>
      <c r="C574" t="s">
        <v>21</v>
      </c>
      <c r="D574" t="s">
        <v>37</v>
      </c>
      <c r="E574" t="s">
        <v>27</v>
      </c>
      <c r="F574" t="s">
        <v>13</v>
      </c>
      <c r="G574">
        <v>6</v>
      </c>
      <c r="H574">
        <v>979</v>
      </c>
      <c r="I574" t="str">
        <f>VLOOKUP(D574,Product_Master!A:D,2,FALSE)</f>
        <v>Mobile</v>
      </c>
      <c r="J574" t="str">
        <f>VLOOKUP(D574,Product_Master!A:D,3,FALSE)</f>
        <v>Electronics</v>
      </c>
      <c r="K574">
        <f>VLOOKUP(D574,Product_Master!A:D,4,FALSE)</f>
        <v>600</v>
      </c>
      <c r="L574" t="str">
        <f>VLOOKUP(C574,Customer_Master!A:C,2,FALSE)</f>
        <v>Reliance</v>
      </c>
      <c r="M574" t="str">
        <f>VLOOKUP(C574,Customer_Master!A:C,3,FALSE)</f>
        <v>Corporate</v>
      </c>
      <c r="N574">
        <f>Table1[[#This Row],[Quantity]]*Table1[[#This Row],[Unit_Price]]</f>
        <v>5874</v>
      </c>
      <c r="O574">
        <f>(Table1[[#This Row],[Unit_Price]]-Table1[[#This Row],[Cost_Price]])*Table1[[#This Row],[Quantity]]</f>
        <v>2274</v>
      </c>
      <c r="P574">
        <f t="shared" si="8"/>
        <v>5874</v>
      </c>
      <c r="Q574" t="str">
        <f>TEXT(Table1[[#This Row],[Order_Date]],"mmm-yyyy")</f>
        <v>Mar-2024</v>
      </c>
    </row>
    <row r="575" spans="1:17" x14ac:dyDescent="0.35">
      <c r="A575" t="s">
        <v>898</v>
      </c>
      <c r="B575" t="s">
        <v>366</v>
      </c>
      <c r="C575" t="s">
        <v>45</v>
      </c>
      <c r="D575" t="s">
        <v>16</v>
      </c>
      <c r="E575" t="s">
        <v>33</v>
      </c>
      <c r="F575" t="s">
        <v>23</v>
      </c>
      <c r="G575">
        <v>2</v>
      </c>
      <c r="H575">
        <v>1355</v>
      </c>
      <c r="I575" t="str">
        <f>VLOOKUP(D575,Product_Master!A:D,2,FALSE)</f>
        <v>Printer</v>
      </c>
      <c r="J575" t="str">
        <f>VLOOKUP(D575,Product_Master!A:D,3,FALSE)</f>
        <v>Electronics</v>
      </c>
      <c r="K575">
        <f>VLOOKUP(D575,Product_Master!A:D,4,FALSE)</f>
        <v>1100</v>
      </c>
      <c r="L575" t="str">
        <f>VLOOKUP(C575,Customer_Master!A:C,2,FALSE)</f>
        <v>TCS</v>
      </c>
      <c r="M575" t="str">
        <f>VLOOKUP(C575,Customer_Master!A:C,3,FALSE)</f>
        <v>Corporate</v>
      </c>
      <c r="N575">
        <f>Table1[[#This Row],[Quantity]]*Table1[[#This Row],[Unit_Price]]</f>
        <v>2710</v>
      </c>
      <c r="O575">
        <f>(Table1[[#This Row],[Unit_Price]]-Table1[[#This Row],[Cost_Price]])*Table1[[#This Row],[Quantity]]</f>
        <v>510</v>
      </c>
      <c r="P575">
        <f t="shared" si="8"/>
        <v>2710</v>
      </c>
      <c r="Q575" t="str">
        <f>TEXT(Table1[[#This Row],[Order_Date]],"mmm-yyyy")</f>
        <v>Mar-2024</v>
      </c>
    </row>
    <row r="576" spans="1:17" x14ac:dyDescent="0.35">
      <c r="A576" t="s">
        <v>899</v>
      </c>
      <c r="B576" t="s">
        <v>900</v>
      </c>
      <c r="C576" t="s">
        <v>30</v>
      </c>
      <c r="D576" t="s">
        <v>26</v>
      </c>
      <c r="E576" t="s">
        <v>27</v>
      </c>
      <c r="F576" t="s">
        <v>23</v>
      </c>
      <c r="G576">
        <v>7</v>
      </c>
      <c r="H576">
        <v>851</v>
      </c>
      <c r="I576" t="str">
        <f>VLOOKUP(D576,Product_Master!A:D,2,FALSE)</f>
        <v>Laptop</v>
      </c>
      <c r="J576" t="str">
        <f>VLOOKUP(D576,Product_Master!A:D,3,FALSE)</f>
        <v>Electronics</v>
      </c>
      <c r="K576">
        <f>VLOOKUP(D576,Product_Master!A:D,4,FALSE)</f>
        <v>900</v>
      </c>
      <c r="L576" t="str">
        <f>VLOOKUP(C576,Customer_Master!A:C,2,FALSE)</f>
        <v>Infosys</v>
      </c>
      <c r="M576" t="str">
        <f>VLOOKUP(C576,Customer_Master!A:C,3,FALSE)</f>
        <v>Corporate</v>
      </c>
      <c r="N576">
        <f>Table1[[#This Row],[Quantity]]*Table1[[#This Row],[Unit_Price]]</f>
        <v>5957</v>
      </c>
      <c r="O576">
        <f>(Table1[[#This Row],[Unit_Price]]-Table1[[#This Row],[Cost_Price]])*Table1[[#This Row],[Quantity]]</f>
        <v>-343</v>
      </c>
      <c r="P576">
        <f t="shared" si="8"/>
        <v>5957</v>
      </c>
      <c r="Q576" t="str">
        <f>TEXT(Table1[[#This Row],[Order_Date]],"mmm-yyyy")</f>
        <v>Feb-2024</v>
      </c>
    </row>
    <row r="577" spans="1:17" x14ac:dyDescent="0.35">
      <c r="A577" t="s">
        <v>901</v>
      </c>
      <c r="B577" t="s">
        <v>783</v>
      </c>
      <c r="C577" t="s">
        <v>30</v>
      </c>
      <c r="D577" t="s">
        <v>22</v>
      </c>
      <c r="E577" t="s">
        <v>12</v>
      </c>
      <c r="F577" t="s">
        <v>13</v>
      </c>
      <c r="G577">
        <v>1</v>
      </c>
      <c r="H577">
        <v>1002</v>
      </c>
      <c r="I577" t="str">
        <f>VLOOKUP(D577,Product_Master!A:D,2,FALSE)</f>
        <v>Desk</v>
      </c>
      <c r="J577" t="str">
        <f>VLOOKUP(D577,Product_Master!A:D,3,FALSE)</f>
        <v>Furniture</v>
      </c>
      <c r="K577">
        <f>VLOOKUP(D577,Product_Master!A:D,4,FALSE)</f>
        <v>300</v>
      </c>
      <c r="L577" t="str">
        <f>VLOOKUP(C577,Customer_Master!A:C,2,FALSE)</f>
        <v>Infosys</v>
      </c>
      <c r="M577" t="str">
        <f>VLOOKUP(C577,Customer_Master!A:C,3,FALSE)</f>
        <v>Corporate</v>
      </c>
      <c r="N577">
        <f>Table1[[#This Row],[Quantity]]*Table1[[#This Row],[Unit_Price]]</f>
        <v>1002</v>
      </c>
      <c r="O577">
        <f>(Table1[[#This Row],[Unit_Price]]-Table1[[#This Row],[Cost_Price]])*Table1[[#This Row],[Quantity]]</f>
        <v>702</v>
      </c>
      <c r="P577">
        <f t="shared" si="8"/>
        <v>1002</v>
      </c>
      <c r="Q577" t="str">
        <f>TEXT(Table1[[#This Row],[Order_Date]],"mmm-yyyy")</f>
        <v>Jun-2024</v>
      </c>
    </row>
    <row r="578" spans="1:17" x14ac:dyDescent="0.35">
      <c r="A578" t="s">
        <v>902</v>
      </c>
      <c r="B578" t="s">
        <v>47</v>
      </c>
      <c r="C578" t="s">
        <v>45</v>
      </c>
      <c r="D578" t="s">
        <v>16</v>
      </c>
      <c r="E578" t="s">
        <v>27</v>
      </c>
      <c r="F578" t="s">
        <v>18</v>
      </c>
      <c r="G578">
        <v>6</v>
      </c>
      <c r="H578">
        <v>1993</v>
      </c>
      <c r="I578" t="str">
        <f>VLOOKUP(D578,Product_Master!A:D,2,FALSE)</f>
        <v>Printer</v>
      </c>
      <c r="J578" t="str">
        <f>VLOOKUP(D578,Product_Master!A:D,3,FALSE)</f>
        <v>Electronics</v>
      </c>
      <c r="K578">
        <f>VLOOKUP(D578,Product_Master!A:D,4,FALSE)</f>
        <v>1100</v>
      </c>
      <c r="L578" t="str">
        <f>VLOOKUP(C578,Customer_Master!A:C,2,FALSE)</f>
        <v>TCS</v>
      </c>
      <c r="M578" t="str">
        <f>VLOOKUP(C578,Customer_Master!A:C,3,FALSE)</f>
        <v>Corporate</v>
      </c>
      <c r="N578">
        <f>Table1[[#This Row],[Quantity]]*Table1[[#This Row],[Unit_Price]]</f>
        <v>11958</v>
      </c>
      <c r="O578">
        <f>(Table1[[#This Row],[Unit_Price]]-Table1[[#This Row],[Cost_Price]])*Table1[[#This Row],[Quantity]]</f>
        <v>5358</v>
      </c>
      <c r="P578">
        <f t="shared" ref="P578:P641" si="9">VALUE(N578)</f>
        <v>11958</v>
      </c>
      <c r="Q578" t="str">
        <f>TEXT(Table1[[#This Row],[Order_Date]],"mmm-yyyy")</f>
        <v>Dec-2024</v>
      </c>
    </row>
    <row r="579" spans="1:17" x14ac:dyDescent="0.35">
      <c r="A579" t="s">
        <v>903</v>
      </c>
      <c r="B579" t="s">
        <v>904</v>
      </c>
      <c r="C579" t="s">
        <v>10</v>
      </c>
      <c r="D579" t="s">
        <v>22</v>
      </c>
      <c r="E579" t="s">
        <v>27</v>
      </c>
      <c r="F579" t="s">
        <v>34</v>
      </c>
      <c r="G579">
        <v>4</v>
      </c>
      <c r="H579">
        <v>972</v>
      </c>
      <c r="I579" t="str">
        <f>VLOOKUP(D579,Product_Master!A:D,2,FALSE)</f>
        <v>Desk</v>
      </c>
      <c r="J579" t="str">
        <f>VLOOKUP(D579,Product_Master!A:D,3,FALSE)</f>
        <v>Furniture</v>
      </c>
      <c r="K579">
        <f>VLOOKUP(D579,Product_Master!A:D,4,FALSE)</f>
        <v>300</v>
      </c>
      <c r="L579" t="str">
        <f>VLOOKUP(C579,Customer_Master!A:C,2,FALSE)</f>
        <v>Suresh</v>
      </c>
      <c r="M579" t="str">
        <f>VLOOKUP(C579,Customer_Master!A:C,3,FALSE)</f>
        <v>Consumer</v>
      </c>
      <c r="N579">
        <f>Table1[[#This Row],[Quantity]]*Table1[[#This Row],[Unit_Price]]</f>
        <v>3888</v>
      </c>
      <c r="O579">
        <f>(Table1[[#This Row],[Unit_Price]]-Table1[[#This Row],[Cost_Price]])*Table1[[#This Row],[Quantity]]</f>
        <v>2688</v>
      </c>
      <c r="P579">
        <f t="shared" si="9"/>
        <v>3888</v>
      </c>
      <c r="Q579" t="str">
        <f>TEXT(Table1[[#This Row],[Order_Date]],"mmm-yyyy")</f>
        <v>Dec-2024</v>
      </c>
    </row>
    <row r="580" spans="1:17" x14ac:dyDescent="0.35">
      <c r="A580" t="s">
        <v>905</v>
      </c>
      <c r="B580" t="s">
        <v>51</v>
      </c>
      <c r="C580" t="s">
        <v>10</v>
      </c>
      <c r="D580" t="s">
        <v>22</v>
      </c>
      <c r="E580" t="s">
        <v>33</v>
      </c>
      <c r="F580" t="s">
        <v>23</v>
      </c>
      <c r="G580">
        <v>4</v>
      </c>
      <c r="H580">
        <v>1660</v>
      </c>
      <c r="I580" t="str">
        <f>VLOOKUP(D580,Product_Master!A:D,2,FALSE)</f>
        <v>Desk</v>
      </c>
      <c r="J580" t="str">
        <f>VLOOKUP(D580,Product_Master!A:D,3,FALSE)</f>
        <v>Furniture</v>
      </c>
      <c r="K580">
        <f>VLOOKUP(D580,Product_Master!A:D,4,FALSE)</f>
        <v>300</v>
      </c>
      <c r="L580" t="str">
        <f>VLOOKUP(C580,Customer_Master!A:C,2,FALSE)</f>
        <v>Suresh</v>
      </c>
      <c r="M580" t="str">
        <f>VLOOKUP(C580,Customer_Master!A:C,3,FALSE)</f>
        <v>Consumer</v>
      </c>
      <c r="N580">
        <f>Table1[[#This Row],[Quantity]]*Table1[[#This Row],[Unit_Price]]</f>
        <v>6640</v>
      </c>
      <c r="O580">
        <f>(Table1[[#This Row],[Unit_Price]]-Table1[[#This Row],[Cost_Price]])*Table1[[#This Row],[Quantity]]</f>
        <v>5440</v>
      </c>
      <c r="P580">
        <f t="shared" si="9"/>
        <v>6640</v>
      </c>
      <c r="Q580" t="str">
        <f>TEXT(Table1[[#This Row],[Order_Date]],"mmm-yyyy")</f>
        <v>Aug-2024</v>
      </c>
    </row>
    <row r="581" spans="1:17" x14ac:dyDescent="0.35">
      <c r="A581" t="s">
        <v>906</v>
      </c>
      <c r="B581" t="s">
        <v>895</v>
      </c>
      <c r="C581" t="s">
        <v>10</v>
      </c>
      <c r="D581" t="s">
        <v>16</v>
      </c>
      <c r="E581" t="s">
        <v>33</v>
      </c>
      <c r="F581" t="s">
        <v>18</v>
      </c>
      <c r="G581">
        <v>3</v>
      </c>
      <c r="H581">
        <v>1025</v>
      </c>
      <c r="I581" t="str">
        <f>VLOOKUP(D581,Product_Master!A:D,2,FALSE)</f>
        <v>Printer</v>
      </c>
      <c r="J581" t="str">
        <f>VLOOKUP(D581,Product_Master!A:D,3,FALSE)</f>
        <v>Electronics</v>
      </c>
      <c r="K581">
        <f>VLOOKUP(D581,Product_Master!A:D,4,FALSE)</f>
        <v>1100</v>
      </c>
      <c r="L581" t="str">
        <f>VLOOKUP(C581,Customer_Master!A:C,2,FALSE)</f>
        <v>Suresh</v>
      </c>
      <c r="M581" t="str">
        <f>VLOOKUP(C581,Customer_Master!A:C,3,FALSE)</f>
        <v>Consumer</v>
      </c>
      <c r="N581">
        <f>Table1[[#This Row],[Quantity]]*Table1[[#This Row],[Unit_Price]]</f>
        <v>3075</v>
      </c>
      <c r="O581">
        <f>(Table1[[#This Row],[Unit_Price]]-Table1[[#This Row],[Cost_Price]])*Table1[[#This Row],[Quantity]]</f>
        <v>-225</v>
      </c>
      <c r="P581">
        <f t="shared" si="9"/>
        <v>3075</v>
      </c>
      <c r="Q581" t="str">
        <f>TEXT(Table1[[#This Row],[Order_Date]],"mmm-yyyy")</f>
        <v>Feb-2024</v>
      </c>
    </row>
    <row r="582" spans="1:17" x14ac:dyDescent="0.35">
      <c r="A582" t="s">
        <v>907</v>
      </c>
      <c r="B582" t="s">
        <v>480</v>
      </c>
      <c r="C582" t="s">
        <v>21</v>
      </c>
      <c r="D582" t="s">
        <v>22</v>
      </c>
      <c r="E582" t="s">
        <v>12</v>
      </c>
      <c r="F582" t="s">
        <v>34</v>
      </c>
      <c r="G582">
        <v>1</v>
      </c>
      <c r="H582">
        <v>1175</v>
      </c>
      <c r="I582" t="str">
        <f>VLOOKUP(D582,Product_Master!A:D,2,FALSE)</f>
        <v>Desk</v>
      </c>
      <c r="J582" t="str">
        <f>VLOOKUP(D582,Product_Master!A:D,3,FALSE)</f>
        <v>Furniture</v>
      </c>
      <c r="K582">
        <f>VLOOKUP(D582,Product_Master!A:D,4,FALSE)</f>
        <v>300</v>
      </c>
      <c r="L582" t="str">
        <f>VLOOKUP(C582,Customer_Master!A:C,2,FALSE)</f>
        <v>Reliance</v>
      </c>
      <c r="M582" t="str">
        <f>VLOOKUP(C582,Customer_Master!A:C,3,FALSE)</f>
        <v>Corporate</v>
      </c>
      <c r="N582">
        <f>Table1[[#This Row],[Quantity]]*Table1[[#This Row],[Unit_Price]]</f>
        <v>1175</v>
      </c>
      <c r="O582">
        <f>(Table1[[#This Row],[Unit_Price]]-Table1[[#This Row],[Cost_Price]])*Table1[[#This Row],[Quantity]]</f>
        <v>875</v>
      </c>
      <c r="P582">
        <f t="shared" si="9"/>
        <v>1175</v>
      </c>
      <c r="Q582" t="str">
        <f>TEXT(Table1[[#This Row],[Order_Date]],"mmm-yyyy")</f>
        <v>Apr-2024</v>
      </c>
    </row>
    <row r="583" spans="1:17" x14ac:dyDescent="0.35">
      <c r="A583" t="s">
        <v>908</v>
      </c>
      <c r="B583" t="s">
        <v>501</v>
      </c>
      <c r="C583" t="s">
        <v>42</v>
      </c>
      <c r="D583" t="s">
        <v>16</v>
      </c>
      <c r="E583" t="s">
        <v>17</v>
      </c>
      <c r="F583" t="s">
        <v>23</v>
      </c>
      <c r="G583">
        <v>6</v>
      </c>
      <c r="H583">
        <v>821</v>
      </c>
      <c r="I583" t="str">
        <f>VLOOKUP(D583,Product_Master!A:D,2,FALSE)</f>
        <v>Printer</v>
      </c>
      <c r="J583" t="str">
        <f>VLOOKUP(D583,Product_Master!A:D,3,FALSE)</f>
        <v>Electronics</v>
      </c>
      <c r="K583">
        <f>VLOOKUP(D583,Product_Master!A:D,4,FALSE)</f>
        <v>1100</v>
      </c>
      <c r="L583" t="str">
        <f>VLOOKUP(C583,Customer_Master!A:C,2,FALSE)</f>
        <v>Ramesh</v>
      </c>
      <c r="M583" t="str">
        <f>VLOOKUP(C583,Customer_Master!A:C,3,FALSE)</f>
        <v>Consumer</v>
      </c>
      <c r="N583">
        <f>Table1[[#This Row],[Quantity]]*Table1[[#This Row],[Unit_Price]]</f>
        <v>4926</v>
      </c>
      <c r="O583">
        <f>(Table1[[#This Row],[Unit_Price]]-Table1[[#This Row],[Cost_Price]])*Table1[[#This Row],[Quantity]]</f>
        <v>-1674</v>
      </c>
      <c r="P583">
        <f t="shared" si="9"/>
        <v>4926</v>
      </c>
      <c r="Q583" t="str">
        <f>TEXT(Table1[[#This Row],[Order_Date]],"mmm-yyyy")</f>
        <v>Jun-2024</v>
      </c>
    </row>
    <row r="584" spans="1:17" x14ac:dyDescent="0.35">
      <c r="A584" t="s">
        <v>909</v>
      </c>
      <c r="B584" t="s">
        <v>558</v>
      </c>
      <c r="C584" t="s">
        <v>45</v>
      </c>
      <c r="D584" t="s">
        <v>37</v>
      </c>
      <c r="E584" t="s">
        <v>27</v>
      </c>
      <c r="F584" t="s">
        <v>13</v>
      </c>
      <c r="G584">
        <v>6</v>
      </c>
      <c r="H584">
        <v>1128</v>
      </c>
      <c r="I584" t="str">
        <f>VLOOKUP(D584,Product_Master!A:D,2,FALSE)</f>
        <v>Mobile</v>
      </c>
      <c r="J584" t="str">
        <f>VLOOKUP(D584,Product_Master!A:D,3,FALSE)</f>
        <v>Electronics</v>
      </c>
      <c r="K584">
        <f>VLOOKUP(D584,Product_Master!A:D,4,FALSE)</f>
        <v>600</v>
      </c>
      <c r="L584" t="str">
        <f>VLOOKUP(C584,Customer_Master!A:C,2,FALSE)</f>
        <v>TCS</v>
      </c>
      <c r="M584" t="str">
        <f>VLOOKUP(C584,Customer_Master!A:C,3,FALSE)</f>
        <v>Corporate</v>
      </c>
      <c r="N584">
        <f>Table1[[#This Row],[Quantity]]*Table1[[#This Row],[Unit_Price]]</f>
        <v>6768</v>
      </c>
      <c r="O584">
        <f>(Table1[[#This Row],[Unit_Price]]-Table1[[#This Row],[Cost_Price]])*Table1[[#This Row],[Quantity]]</f>
        <v>3168</v>
      </c>
      <c r="P584">
        <f t="shared" si="9"/>
        <v>6768</v>
      </c>
      <c r="Q584" t="str">
        <f>TEXT(Table1[[#This Row],[Order_Date]],"mmm-yyyy")</f>
        <v>Jan-2024</v>
      </c>
    </row>
    <row r="585" spans="1:17" x14ac:dyDescent="0.35">
      <c r="A585" t="s">
        <v>910</v>
      </c>
      <c r="B585" t="s">
        <v>261</v>
      </c>
      <c r="C585" t="s">
        <v>21</v>
      </c>
      <c r="D585" t="s">
        <v>16</v>
      </c>
      <c r="E585" t="s">
        <v>27</v>
      </c>
      <c r="F585" t="s">
        <v>13</v>
      </c>
      <c r="G585">
        <v>1</v>
      </c>
      <c r="H585">
        <v>1830</v>
      </c>
      <c r="I585" t="str">
        <f>VLOOKUP(D585,Product_Master!A:D,2,FALSE)</f>
        <v>Printer</v>
      </c>
      <c r="J585" t="str">
        <f>VLOOKUP(D585,Product_Master!A:D,3,FALSE)</f>
        <v>Electronics</v>
      </c>
      <c r="K585">
        <f>VLOOKUP(D585,Product_Master!A:D,4,FALSE)</f>
        <v>1100</v>
      </c>
      <c r="L585" t="str">
        <f>VLOOKUP(C585,Customer_Master!A:C,2,FALSE)</f>
        <v>Reliance</v>
      </c>
      <c r="M585" t="str">
        <f>VLOOKUP(C585,Customer_Master!A:C,3,FALSE)</f>
        <v>Corporate</v>
      </c>
      <c r="N585">
        <f>Table1[[#This Row],[Quantity]]*Table1[[#This Row],[Unit_Price]]</f>
        <v>1830</v>
      </c>
      <c r="O585">
        <f>(Table1[[#This Row],[Unit_Price]]-Table1[[#This Row],[Cost_Price]])*Table1[[#This Row],[Quantity]]</f>
        <v>730</v>
      </c>
      <c r="P585">
        <f t="shared" si="9"/>
        <v>1830</v>
      </c>
      <c r="Q585" t="str">
        <f>TEXT(Table1[[#This Row],[Order_Date]],"mmm-yyyy")</f>
        <v>Mar-2024</v>
      </c>
    </row>
    <row r="586" spans="1:17" x14ac:dyDescent="0.35">
      <c r="A586" t="s">
        <v>911</v>
      </c>
      <c r="B586" t="s">
        <v>904</v>
      </c>
      <c r="C586" t="s">
        <v>21</v>
      </c>
      <c r="D586" t="s">
        <v>11</v>
      </c>
      <c r="E586" t="s">
        <v>12</v>
      </c>
      <c r="F586" t="s">
        <v>34</v>
      </c>
      <c r="G586">
        <v>1</v>
      </c>
      <c r="H586">
        <v>1212</v>
      </c>
      <c r="I586" t="str">
        <f>VLOOKUP(D586,Product_Master!A:D,2,FALSE)</f>
        <v>Chair</v>
      </c>
      <c r="J586" t="str">
        <f>VLOOKUP(D586,Product_Master!A:D,3,FALSE)</f>
        <v>Furniture</v>
      </c>
      <c r="K586">
        <f>VLOOKUP(D586,Product_Master!A:D,4,FALSE)</f>
        <v>150</v>
      </c>
      <c r="L586" t="str">
        <f>VLOOKUP(C586,Customer_Master!A:C,2,FALSE)</f>
        <v>Reliance</v>
      </c>
      <c r="M586" t="str">
        <f>VLOOKUP(C586,Customer_Master!A:C,3,FALSE)</f>
        <v>Corporate</v>
      </c>
      <c r="N586">
        <f>Table1[[#This Row],[Quantity]]*Table1[[#This Row],[Unit_Price]]</f>
        <v>1212</v>
      </c>
      <c r="O586">
        <f>(Table1[[#This Row],[Unit_Price]]-Table1[[#This Row],[Cost_Price]])*Table1[[#This Row],[Quantity]]</f>
        <v>1062</v>
      </c>
      <c r="P586">
        <f t="shared" si="9"/>
        <v>1212</v>
      </c>
      <c r="Q586" t="str">
        <f>TEXT(Table1[[#This Row],[Order_Date]],"mmm-yyyy")</f>
        <v>Dec-2024</v>
      </c>
    </row>
    <row r="587" spans="1:17" x14ac:dyDescent="0.35">
      <c r="A587" t="s">
        <v>912</v>
      </c>
      <c r="B587" t="s">
        <v>102</v>
      </c>
      <c r="C587" t="s">
        <v>45</v>
      </c>
      <c r="D587" t="s">
        <v>16</v>
      </c>
      <c r="E587" t="s">
        <v>27</v>
      </c>
      <c r="F587" t="s">
        <v>13</v>
      </c>
      <c r="G587">
        <v>7</v>
      </c>
      <c r="H587">
        <v>1778</v>
      </c>
      <c r="I587" t="str">
        <f>VLOOKUP(D587,Product_Master!A:D,2,FALSE)</f>
        <v>Printer</v>
      </c>
      <c r="J587" t="str">
        <f>VLOOKUP(D587,Product_Master!A:D,3,FALSE)</f>
        <v>Electronics</v>
      </c>
      <c r="K587">
        <f>VLOOKUP(D587,Product_Master!A:D,4,FALSE)</f>
        <v>1100</v>
      </c>
      <c r="L587" t="str">
        <f>VLOOKUP(C587,Customer_Master!A:C,2,FALSE)</f>
        <v>TCS</v>
      </c>
      <c r="M587" t="str">
        <f>VLOOKUP(C587,Customer_Master!A:C,3,FALSE)</f>
        <v>Corporate</v>
      </c>
      <c r="N587">
        <f>Table1[[#This Row],[Quantity]]*Table1[[#This Row],[Unit_Price]]</f>
        <v>12446</v>
      </c>
      <c r="O587">
        <f>(Table1[[#This Row],[Unit_Price]]-Table1[[#This Row],[Cost_Price]])*Table1[[#This Row],[Quantity]]</f>
        <v>4746</v>
      </c>
      <c r="P587">
        <f t="shared" si="9"/>
        <v>12446</v>
      </c>
      <c r="Q587" t="str">
        <f>TEXT(Table1[[#This Row],[Order_Date]],"mmm-yyyy")</f>
        <v>May-2024</v>
      </c>
    </row>
    <row r="588" spans="1:17" x14ac:dyDescent="0.35">
      <c r="A588" t="s">
        <v>913</v>
      </c>
      <c r="B588" t="s">
        <v>609</v>
      </c>
      <c r="C588" t="s">
        <v>21</v>
      </c>
      <c r="D588" t="s">
        <v>11</v>
      </c>
      <c r="E588" t="s">
        <v>12</v>
      </c>
      <c r="F588" t="s">
        <v>18</v>
      </c>
      <c r="G588">
        <v>9</v>
      </c>
      <c r="H588">
        <v>954</v>
      </c>
      <c r="I588" t="str">
        <f>VLOOKUP(D588,Product_Master!A:D,2,FALSE)</f>
        <v>Chair</v>
      </c>
      <c r="J588" t="str">
        <f>VLOOKUP(D588,Product_Master!A:D,3,FALSE)</f>
        <v>Furniture</v>
      </c>
      <c r="K588">
        <f>VLOOKUP(D588,Product_Master!A:D,4,FALSE)</f>
        <v>150</v>
      </c>
      <c r="L588" t="str">
        <f>VLOOKUP(C588,Customer_Master!A:C,2,FALSE)</f>
        <v>Reliance</v>
      </c>
      <c r="M588" t="str">
        <f>VLOOKUP(C588,Customer_Master!A:C,3,FALSE)</f>
        <v>Corporate</v>
      </c>
      <c r="N588">
        <f>Table1[[#This Row],[Quantity]]*Table1[[#This Row],[Unit_Price]]</f>
        <v>8586</v>
      </c>
      <c r="O588">
        <f>(Table1[[#This Row],[Unit_Price]]-Table1[[#This Row],[Cost_Price]])*Table1[[#This Row],[Quantity]]</f>
        <v>7236</v>
      </c>
      <c r="P588">
        <f t="shared" si="9"/>
        <v>8586</v>
      </c>
      <c r="Q588" t="str">
        <f>TEXT(Table1[[#This Row],[Order_Date]],"mmm-yyyy")</f>
        <v>Apr-2024</v>
      </c>
    </row>
    <row r="589" spans="1:17" x14ac:dyDescent="0.35">
      <c r="A589" t="s">
        <v>914</v>
      </c>
      <c r="B589" t="s">
        <v>121</v>
      </c>
      <c r="C589" t="s">
        <v>45</v>
      </c>
      <c r="D589" t="s">
        <v>16</v>
      </c>
      <c r="E589" t="s">
        <v>12</v>
      </c>
      <c r="F589" t="s">
        <v>18</v>
      </c>
      <c r="G589">
        <v>2</v>
      </c>
      <c r="H589">
        <v>1267</v>
      </c>
      <c r="I589" t="str">
        <f>VLOOKUP(D589,Product_Master!A:D,2,FALSE)</f>
        <v>Printer</v>
      </c>
      <c r="J589" t="str">
        <f>VLOOKUP(D589,Product_Master!A:D,3,FALSE)</f>
        <v>Electronics</v>
      </c>
      <c r="K589">
        <f>VLOOKUP(D589,Product_Master!A:D,4,FALSE)</f>
        <v>1100</v>
      </c>
      <c r="L589" t="str">
        <f>VLOOKUP(C589,Customer_Master!A:C,2,FALSE)</f>
        <v>TCS</v>
      </c>
      <c r="M589" t="str">
        <f>VLOOKUP(C589,Customer_Master!A:C,3,FALSE)</f>
        <v>Corporate</v>
      </c>
      <c r="N589">
        <f>Table1[[#This Row],[Quantity]]*Table1[[#This Row],[Unit_Price]]</f>
        <v>2534</v>
      </c>
      <c r="O589">
        <f>(Table1[[#This Row],[Unit_Price]]-Table1[[#This Row],[Cost_Price]])*Table1[[#This Row],[Quantity]]</f>
        <v>334</v>
      </c>
      <c r="P589">
        <f t="shared" si="9"/>
        <v>2534</v>
      </c>
      <c r="Q589" t="str">
        <f>TEXT(Table1[[#This Row],[Order_Date]],"mmm-yyyy")</f>
        <v>Nov-2024</v>
      </c>
    </row>
    <row r="590" spans="1:17" x14ac:dyDescent="0.35">
      <c r="A590" t="s">
        <v>915</v>
      </c>
      <c r="B590" t="s">
        <v>778</v>
      </c>
      <c r="C590" t="s">
        <v>10</v>
      </c>
      <c r="D590" t="s">
        <v>11</v>
      </c>
      <c r="E590" t="s">
        <v>12</v>
      </c>
      <c r="F590" t="s">
        <v>18</v>
      </c>
      <c r="G590">
        <v>4</v>
      </c>
      <c r="H590">
        <v>1867</v>
      </c>
      <c r="I590" t="str">
        <f>VLOOKUP(D590,Product_Master!A:D,2,FALSE)</f>
        <v>Chair</v>
      </c>
      <c r="J590" t="str">
        <f>VLOOKUP(D590,Product_Master!A:D,3,FALSE)</f>
        <v>Furniture</v>
      </c>
      <c r="K590">
        <f>VLOOKUP(D590,Product_Master!A:D,4,FALSE)</f>
        <v>150</v>
      </c>
      <c r="L590" t="str">
        <f>VLOOKUP(C590,Customer_Master!A:C,2,FALSE)</f>
        <v>Suresh</v>
      </c>
      <c r="M590" t="str">
        <f>VLOOKUP(C590,Customer_Master!A:C,3,FALSE)</f>
        <v>Consumer</v>
      </c>
      <c r="N590">
        <f>Table1[[#This Row],[Quantity]]*Table1[[#This Row],[Unit_Price]]</f>
        <v>7468</v>
      </c>
      <c r="O590">
        <f>(Table1[[#This Row],[Unit_Price]]-Table1[[#This Row],[Cost_Price]])*Table1[[#This Row],[Quantity]]</f>
        <v>6868</v>
      </c>
      <c r="P590">
        <f t="shared" si="9"/>
        <v>7468</v>
      </c>
      <c r="Q590" t="str">
        <f>TEXT(Table1[[#This Row],[Order_Date]],"mmm-yyyy")</f>
        <v>Nov-2024</v>
      </c>
    </row>
    <row r="591" spans="1:17" x14ac:dyDescent="0.35">
      <c r="A591" t="s">
        <v>916</v>
      </c>
      <c r="B591" t="s">
        <v>563</v>
      </c>
      <c r="C591" t="s">
        <v>21</v>
      </c>
      <c r="D591" t="s">
        <v>26</v>
      </c>
      <c r="E591" t="s">
        <v>27</v>
      </c>
      <c r="F591" t="s">
        <v>34</v>
      </c>
      <c r="G591">
        <v>8</v>
      </c>
      <c r="H591">
        <v>1699</v>
      </c>
      <c r="I591" t="str">
        <f>VLOOKUP(D591,Product_Master!A:D,2,FALSE)</f>
        <v>Laptop</v>
      </c>
      <c r="J591" t="str">
        <f>VLOOKUP(D591,Product_Master!A:D,3,FALSE)</f>
        <v>Electronics</v>
      </c>
      <c r="K591">
        <f>VLOOKUP(D591,Product_Master!A:D,4,FALSE)</f>
        <v>900</v>
      </c>
      <c r="L591" t="str">
        <f>VLOOKUP(C591,Customer_Master!A:C,2,FALSE)</f>
        <v>Reliance</v>
      </c>
      <c r="M591" t="str">
        <f>VLOOKUP(C591,Customer_Master!A:C,3,FALSE)</f>
        <v>Corporate</v>
      </c>
      <c r="N591">
        <f>Table1[[#This Row],[Quantity]]*Table1[[#This Row],[Unit_Price]]</f>
        <v>13592</v>
      </c>
      <c r="O591">
        <f>(Table1[[#This Row],[Unit_Price]]-Table1[[#This Row],[Cost_Price]])*Table1[[#This Row],[Quantity]]</f>
        <v>6392</v>
      </c>
      <c r="P591">
        <f t="shared" si="9"/>
        <v>13592</v>
      </c>
      <c r="Q591" t="str">
        <f>TEXT(Table1[[#This Row],[Order_Date]],"mmm-yyyy")</f>
        <v>Dec-2024</v>
      </c>
    </row>
    <row r="592" spans="1:17" x14ac:dyDescent="0.35">
      <c r="A592" t="s">
        <v>917</v>
      </c>
      <c r="B592" t="s">
        <v>918</v>
      </c>
      <c r="C592" t="s">
        <v>42</v>
      </c>
      <c r="D592" t="s">
        <v>37</v>
      </c>
      <c r="E592" t="s">
        <v>27</v>
      </c>
      <c r="F592" t="s">
        <v>23</v>
      </c>
      <c r="G592">
        <v>2</v>
      </c>
      <c r="H592">
        <v>1140</v>
      </c>
      <c r="I592" t="str">
        <f>VLOOKUP(D592,Product_Master!A:D,2,FALSE)</f>
        <v>Mobile</v>
      </c>
      <c r="J592" t="str">
        <f>VLOOKUP(D592,Product_Master!A:D,3,FALSE)</f>
        <v>Electronics</v>
      </c>
      <c r="K592">
        <f>VLOOKUP(D592,Product_Master!A:D,4,FALSE)</f>
        <v>600</v>
      </c>
      <c r="L592" t="str">
        <f>VLOOKUP(C592,Customer_Master!A:C,2,FALSE)</f>
        <v>Ramesh</v>
      </c>
      <c r="M592" t="str">
        <f>VLOOKUP(C592,Customer_Master!A:C,3,FALSE)</f>
        <v>Consumer</v>
      </c>
      <c r="N592">
        <f>Table1[[#This Row],[Quantity]]*Table1[[#This Row],[Unit_Price]]</f>
        <v>2280</v>
      </c>
      <c r="O592">
        <f>(Table1[[#This Row],[Unit_Price]]-Table1[[#This Row],[Cost_Price]])*Table1[[#This Row],[Quantity]]</f>
        <v>1080</v>
      </c>
      <c r="P592">
        <f t="shared" si="9"/>
        <v>2280</v>
      </c>
      <c r="Q592" t="str">
        <f>TEXT(Table1[[#This Row],[Order_Date]],"mmm-yyyy")</f>
        <v>Dec-2024</v>
      </c>
    </row>
    <row r="593" spans="1:17" x14ac:dyDescent="0.35">
      <c r="A593" t="s">
        <v>919</v>
      </c>
      <c r="B593" t="s">
        <v>653</v>
      </c>
      <c r="C593" t="s">
        <v>45</v>
      </c>
      <c r="D593" t="s">
        <v>26</v>
      </c>
      <c r="E593" t="s">
        <v>12</v>
      </c>
      <c r="F593" t="s">
        <v>13</v>
      </c>
      <c r="G593">
        <v>3</v>
      </c>
      <c r="H593">
        <v>1079</v>
      </c>
      <c r="I593" t="str">
        <f>VLOOKUP(D593,Product_Master!A:D,2,FALSE)</f>
        <v>Laptop</v>
      </c>
      <c r="J593" t="str">
        <f>VLOOKUP(D593,Product_Master!A:D,3,FALSE)</f>
        <v>Electronics</v>
      </c>
      <c r="K593">
        <f>VLOOKUP(D593,Product_Master!A:D,4,FALSE)</f>
        <v>900</v>
      </c>
      <c r="L593" t="str">
        <f>VLOOKUP(C593,Customer_Master!A:C,2,FALSE)</f>
        <v>TCS</v>
      </c>
      <c r="M593" t="str">
        <f>VLOOKUP(C593,Customer_Master!A:C,3,FALSE)</f>
        <v>Corporate</v>
      </c>
      <c r="N593">
        <f>Table1[[#This Row],[Quantity]]*Table1[[#This Row],[Unit_Price]]</f>
        <v>3237</v>
      </c>
      <c r="O593">
        <f>(Table1[[#This Row],[Unit_Price]]-Table1[[#This Row],[Cost_Price]])*Table1[[#This Row],[Quantity]]</f>
        <v>537</v>
      </c>
      <c r="P593">
        <f t="shared" si="9"/>
        <v>3237</v>
      </c>
      <c r="Q593" t="str">
        <f>TEXT(Table1[[#This Row],[Order_Date]],"mmm-yyyy")</f>
        <v>Dec-2024</v>
      </c>
    </row>
    <row r="594" spans="1:17" x14ac:dyDescent="0.35">
      <c r="A594" t="s">
        <v>920</v>
      </c>
      <c r="B594" t="s">
        <v>921</v>
      </c>
      <c r="C594" t="s">
        <v>30</v>
      </c>
      <c r="D594" t="s">
        <v>26</v>
      </c>
      <c r="E594" t="s">
        <v>33</v>
      </c>
      <c r="F594" t="s">
        <v>34</v>
      </c>
      <c r="G594">
        <v>2</v>
      </c>
      <c r="H594">
        <v>1947</v>
      </c>
      <c r="I594" t="str">
        <f>VLOOKUP(D594,Product_Master!A:D,2,FALSE)</f>
        <v>Laptop</v>
      </c>
      <c r="J594" t="str">
        <f>VLOOKUP(D594,Product_Master!A:D,3,FALSE)</f>
        <v>Electronics</v>
      </c>
      <c r="K594">
        <f>VLOOKUP(D594,Product_Master!A:D,4,FALSE)</f>
        <v>900</v>
      </c>
      <c r="L594" t="str">
        <f>VLOOKUP(C594,Customer_Master!A:C,2,FALSE)</f>
        <v>Infosys</v>
      </c>
      <c r="M594" t="str">
        <f>VLOOKUP(C594,Customer_Master!A:C,3,FALSE)</f>
        <v>Corporate</v>
      </c>
      <c r="N594">
        <f>Table1[[#This Row],[Quantity]]*Table1[[#This Row],[Unit_Price]]</f>
        <v>3894</v>
      </c>
      <c r="O594">
        <f>(Table1[[#This Row],[Unit_Price]]-Table1[[#This Row],[Cost_Price]])*Table1[[#This Row],[Quantity]]</f>
        <v>2094</v>
      </c>
      <c r="P594">
        <f t="shared" si="9"/>
        <v>3894</v>
      </c>
      <c r="Q594" t="str">
        <f>TEXT(Table1[[#This Row],[Order_Date]],"mmm-yyyy")</f>
        <v>Sep-2024</v>
      </c>
    </row>
    <row r="595" spans="1:17" x14ac:dyDescent="0.35">
      <c r="A595" t="s">
        <v>922</v>
      </c>
      <c r="B595" t="s">
        <v>359</v>
      </c>
      <c r="C595" t="s">
        <v>45</v>
      </c>
      <c r="D595" t="s">
        <v>16</v>
      </c>
      <c r="E595" t="s">
        <v>17</v>
      </c>
      <c r="F595" t="s">
        <v>18</v>
      </c>
      <c r="G595">
        <v>8</v>
      </c>
      <c r="H595">
        <v>994</v>
      </c>
      <c r="I595" t="str">
        <f>VLOOKUP(D595,Product_Master!A:D,2,FALSE)</f>
        <v>Printer</v>
      </c>
      <c r="J595" t="str">
        <f>VLOOKUP(D595,Product_Master!A:D,3,FALSE)</f>
        <v>Electronics</v>
      </c>
      <c r="K595">
        <f>VLOOKUP(D595,Product_Master!A:D,4,FALSE)</f>
        <v>1100</v>
      </c>
      <c r="L595" t="str">
        <f>VLOOKUP(C595,Customer_Master!A:C,2,FALSE)</f>
        <v>TCS</v>
      </c>
      <c r="M595" t="str">
        <f>VLOOKUP(C595,Customer_Master!A:C,3,FALSE)</f>
        <v>Corporate</v>
      </c>
      <c r="N595">
        <f>Table1[[#This Row],[Quantity]]*Table1[[#This Row],[Unit_Price]]</f>
        <v>7952</v>
      </c>
      <c r="O595">
        <f>(Table1[[#This Row],[Unit_Price]]-Table1[[#This Row],[Cost_Price]])*Table1[[#This Row],[Quantity]]</f>
        <v>-848</v>
      </c>
      <c r="P595">
        <f t="shared" si="9"/>
        <v>7952</v>
      </c>
      <c r="Q595" t="str">
        <f>TEXT(Table1[[#This Row],[Order_Date]],"mmm-yyyy")</f>
        <v>Dec-2024</v>
      </c>
    </row>
    <row r="596" spans="1:17" x14ac:dyDescent="0.35">
      <c r="A596" t="s">
        <v>923</v>
      </c>
      <c r="B596" t="s">
        <v>864</v>
      </c>
      <c r="C596" t="s">
        <v>45</v>
      </c>
      <c r="D596" t="s">
        <v>16</v>
      </c>
      <c r="E596" t="s">
        <v>27</v>
      </c>
      <c r="F596" t="s">
        <v>13</v>
      </c>
      <c r="G596">
        <v>1</v>
      </c>
      <c r="H596">
        <v>1737</v>
      </c>
      <c r="I596" t="str">
        <f>VLOOKUP(D596,Product_Master!A:D,2,FALSE)</f>
        <v>Printer</v>
      </c>
      <c r="J596" t="str">
        <f>VLOOKUP(D596,Product_Master!A:D,3,FALSE)</f>
        <v>Electronics</v>
      </c>
      <c r="K596">
        <f>VLOOKUP(D596,Product_Master!A:D,4,FALSE)</f>
        <v>1100</v>
      </c>
      <c r="L596" t="str">
        <f>VLOOKUP(C596,Customer_Master!A:C,2,FALSE)</f>
        <v>TCS</v>
      </c>
      <c r="M596" t="str">
        <f>VLOOKUP(C596,Customer_Master!A:C,3,FALSE)</f>
        <v>Corporate</v>
      </c>
      <c r="N596">
        <f>Table1[[#This Row],[Quantity]]*Table1[[#This Row],[Unit_Price]]</f>
        <v>1737</v>
      </c>
      <c r="O596">
        <f>(Table1[[#This Row],[Unit_Price]]-Table1[[#This Row],[Cost_Price]])*Table1[[#This Row],[Quantity]]</f>
        <v>637</v>
      </c>
      <c r="P596">
        <f t="shared" si="9"/>
        <v>1737</v>
      </c>
      <c r="Q596" t="str">
        <f>TEXT(Table1[[#This Row],[Order_Date]],"mmm-yyyy")</f>
        <v>May-2024</v>
      </c>
    </row>
    <row r="597" spans="1:17" x14ac:dyDescent="0.35">
      <c r="A597" t="s">
        <v>924</v>
      </c>
      <c r="B597" t="s">
        <v>265</v>
      </c>
      <c r="C597" t="s">
        <v>10</v>
      </c>
      <c r="D597" t="s">
        <v>26</v>
      </c>
      <c r="E597" t="s">
        <v>12</v>
      </c>
      <c r="F597" t="s">
        <v>23</v>
      </c>
      <c r="G597">
        <v>1</v>
      </c>
      <c r="H597">
        <v>1188</v>
      </c>
      <c r="I597" t="str">
        <f>VLOOKUP(D597,Product_Master!A:D,2,FALSE)</f>
        <v>Laptop</v>
      </c>
      <c r="J597" t="str">
        <f>VLOOKUP(D597,Product_Master!A:D,3,FALSE)</f>
        <v>Electronics</v>
      </c>
      <c r="K597">
        <f>VLOOKUP(D597,Product_Master!A:D,4,FALSE)</f>
        <v>900</v>
      </c>
      <c r="L597" t="str">
        <f>VLOOKUP(C597,Customer_Master!A:C,2,FALSE)</f>
        <v>Suresh</v>
      </c>
      <c r="M597" t="str">
        <f>VLOOKUP(C597,Customer_Master!A:C,3,FALSE)</f>
        <v>Consumer</v>
      </c>
      <c r="N597">
        <f>Table1[[#This Row],[Quantity]]*Table1[[#This Row],[Unit_Price]]</f>
        <v>1188</v>
      </c>
      <c r="O597">
        <f>(Table1[[#This Row],[Unit_Price]]-Table1[[#This Row],[Cost_Price]])*Table1[[#This Row],[Quantity]]</f>
        <v>288</v>
      </c>
      <c r="P597">
        <f t="shared" si="9"/>
        <v>1188</v>
      </c>
      <c r="Q597" t="str">
        <f>TEXT(Table1[[#This Row],[Order_Date]],"mmm-yyyy")</f>
        <v>Apr-2024</v>
      </c>
    </row>
    <row r="598" spans="1:17" x14ac:dyDescent="0.35">
      <c r="A598" t="s">
        <v>925</v>
      </c>
      <c r="B598" t="s">
        <v>926</v>
      </c>
      <c r="C598" t="s">
        <v>10</v>
      </c>
      <c r="D598" t="s">
        <v>11</v>
      </c>
      <c r="E598" t="s">
        <v>17</v>
      </c>
      <c r="F598" t="s">
        <v>13</v>
      </c>
      <c r="G598">
        <v>5</v>
      </c>
      <c r="H598">
        <v>1705</v>
      </c>
      <c r="I598" t="str">
        <f>VLOOKUP(D598,Product_Master!A:D,2,FALSE)</f>
        <v>Chair</v>
      </c>
      <c r="J598" t="str">
        <f>VLOOKUP(D598,Product_Master!A:D,3,FALSE)</f>
        <v>Furniture</v>
      </c>
      <c r="K598">
        <f>VLOOKUP(D598,Product_Master!A:D,4,FALSE)</f>
        <v>150</v>
      </c>
      <c r="L598" t="str">
        <f>VLOOKUP(C598,Customer_Master!A:C,2,FALSE)</f>
        <v>Suresh</v>
      </c>
      <c r="M598" t="str">
        <f>VLOOKUP(C598,Customer_Master!A:C,3,FALSE)</f>
        <v>Consumer</v>
      </c>
      <c r="N598">
        <f>Table1[[#This Row],[Quantity]]*Table1[[#This Row],[Unit_Price]]</f>
        <v>8525</v>
      </c>
      <c r="O598">
        <f>(Table1[[#This Row],[Unit_Price]]-Table1[[#This Row],[Cost_Price]])*Table1[[#This Row],[Quantity]]</f>
        <v>7775</v>
      </c>
      <c r="P598">
        <f t="shared" si="9"/>
        <v>8525</v>
      </c>
      <c r="Q598" t="str">
        <f>TEXT(Table1[[#This Row],[Order_Date]],"mmm-yyyy")</f>
        <v>Apr-2024</v>
      </c>
    </row>
    <row r="599" spans="1:17" x14ac:dyDescent="0.35">
      <c r="A599" t="s">
        <v>927</v>
      </c>
      <c r="B599" t="s">
        <v>153</v>
      </c>
      <c r="C599" t="s">
        <v>30</v>
      </c>
      <c r="D599" t="s">
        <v>11</v>
      </c>
      <c r="E599" t="s">
        <v>33</v>
      </c>
      <c r="F599" t="s">
        <v>18</v>
      </c>
      <c r="G599">
        <v>5</v>
      </c>
      <c r="H599">
        <v>1456</v>
      </c>
      <c r="I599" t="str">
        <f>VLOOKUP(D599,Product_Master!A:D,2,FALSE)</f>
        <v>Chair</v>
      </c>
      <c r="J599" t="str">
        <f>VLOOKUP(D599,Product_Master!A:D,3,FALSE)</f>
        <v>Furniture</v>
      </c>
      <c r="K599">
        <f>VLOOKUP(D599,Product_Master!A:D,4,FALSE)</f>
        <v>150</v>
      </c>
      <c r="L599" t="str">
        <f>VLOOKUP(C599,Customer_Master!A:C,2,FALSE)</f>
        <v>Infosys</v>
      </c>
      <c r="M599" t="str">
        <f>VLOOKUP(C599,Customer_Master!A:C,3,FALSE)</f>
        <v>Corporate</v>
      </c>
      <c r="N599">
        <f>Table1[[#This Row],[Quantity]]*Table1[[#This Row],[Unit_Price]]</f>
        <v>7280</v>
      </c>
      <c r="O599">
        <f>(Table1[[#This Row],[Unit_Price]]-Table1[[#This Row],[Cost_Price]])*Table1[[#This Row],[Quantity]]</f>
        <v>6530</v>
      </c>
      <c r="P599">
        <f t="shared" si="9"/>
        <v>7280</v>
      </c>
      <c r="Q599" t="str">
        <f>TEXT(Table1[[#This Row],[Order_Date]],"mmm-yyyy")</f>
        <v>Oct-2024</v>
      </c>
    </row>
    <row r="600" spans="1:17" x14ac:dyDescent="0.35">
      <c r="A600" t="s">
        <v>928</v>
      </c>
      <c r="B600" t="s">
        <v>554</v>
      </c>
      <c r="C600" t="s">
        <v>30</v>
      </c>
      <c r="D600" t="s">
        <v>22</v>
      </c>
      <c r="E600" t="s">
        <v>27</v>
      </c>
      <c r="F600" t="s">
        <v>13</v>
      </c>
      <c r="G600">
        <v>5</v>
      </c>
      <c r="H600">
        <v>1116</v>
      </c>
      <c r="I600" t="str">
        <f>VLOOKUP(D600,Product_Master!A:D,2,FALSE)</f>
        <v>Desk</v>
      </c>
      <c r="J600" t="str">
        <f>VLOOKUP(D600,Product_Master!A:D,3,FALSE)</f>
        <v>Furniture</v>
      </c>
      <c r="K600">
        <f>VLOOKUP(D600,Product_Master!A:D,4,FALSE)</f>
        <v>300</v>
      </c>
      <c r="L600" t="str">
        <f>VLOOKUP(C600,Customer_Master!A:C,2,FALSE)</f>
        <v>Infosys</v>
      </c>
      <c r="M600" t="str">
        <f>VLOOKUP(C600,Customer_Master!A:C,3,FALSE)</f>
        <v>Corporate</v>
      </c>
      <c r="N600">
        <f>Table1[[#This Row],[Quantity]]*Table1[[#This Row],[Unit_Price]]</f>
        <v>5580</v>
      </c>
      <c r="O600">
        <f>(Table1[[#This Row],[Unit_Price]]-Table1[[#This Row],[Cost_Price]])*Table1[[#This Row],[Quantity]]</f>
        <v>4080</v>
      </c>
      <c r="P600">
        <f t="shared" si="9"/>
        <v>5580</v>
      </c>
      <c r="Q600" t="str">
        <f>TEXT(Table1[[#This Row],[Order_Date]],"mmm-yyyy")</f>
        <v>Apr-2024</v>
      </c>
    </row>
    <row r="601" spans="1:17" x14ac:dyDescent="0.35">
      <c r="A601" t="s">
        <v>929</v>
      </c>
      <c r="B601" t="s">
        <v>198</v>
      </c>
      <c r="C601" t="s">
        <v>42</v>
      </c>
      <c r="D601" t="s">
        <v>26</v>
      </c>
      <c r="E601" t="s">
        <v>17</v>
      </c>
      <c r="F601" t="s">
        <v>23</v>
      </c>
      <c r="G601">
        <v>1</v>
      </c>
      <c r="H601">
        <v>1561</v>
      </c>
      <c r="I601" t="str">
        <f>VLOOKUP(D601,Product_Master!A:D,2,FALSE)</f>
        <v>Laptop</v>
      </c>
      <c r="J601" t="str">
        <f>VLOOKUP(D601,Product_Master!A:D,3,FALSE)</f>
        <v>Electronics</v>
      </c>
      <c r="K601">
        <f>VLOOKUP(D601,Product_Master!A:D,4,FALSE)</f>
        <v>900</v>
      </c>
      <c r="L601" t="str">
        <f>VLOOKUP(C601,Customer_Master!A:C,2,FALSE)</f>
        <v>Ramesh</v>
      </c>
      <c r="M601" t="str">
        <f>VLOOKUP(C601,Customer_Master!A:C,3,FALSE)</f>
        <v>Consumer</v>
      </c>
      <c r="N601">
        <f>Table1[[#This Row],[Quantity]]*Table1[[#This Row],[Unit_Price]]</f>
        <v>1561</v>
      </c>
      <c r="O601">
        <f>(Table1[[#This Row],[Unit_Price]]-Table1[[#This Row],[Cost_Price]])*Table1[[#This Row],[Quantity]]</f>
        <v>661</v>
      </c>
      <c r="P601">
        <f t="shared" si="9"/>
        <v>1561</v>
      </c>
      <c r="Q601" t="str">
        <f>TEXT(Table1[[#This Row],[Order_Date]],"mmm-yyyy")</f>
        <v>Jun-2024</v>
      </c>
    </row>
    <row r="602" spans="1:17" x14ac:dyDescent="0.35">
      <c r="A602" t="s">
        <v>930</v>
      </c>
      <c r="B602" t="s">
        <v>665</v>
      </c>
      <c r="C602" t="s">
        <v>42</v>
      </c>
      <c r="D602" t="s">
        <v>16</v>
      </c>
      <c r="E602" t="s">
        <v>33</v>
      </c>
      <c r="F602" t="s">
        <v>18</v>
      </c>
      <c r="G602">
        <v>2</v>
      </c>
      <c r="H602">
        <v>1586</v>
      </c>
      <c r="I602" t="str">
        <f>VLOOKUP(D602,Product_Master!A:D,2,FALSE)</f>
        <v>Printer</v>
      </c>
      <c r="J602" t="str">
        <f>VLOOKUP(D602,Product_Master!A:D,3,FALSE)</f>
        <v>Electronics</v>
      </c>
      <c r="K602">
        <f>VLOOKUP(D602,Product_Master!A:D,4,FALSE)</f>
        <v>1100</v>
      </c>
      <c r="L602" t="str">
        <f>VLOOKUP(C602,Customer_Master!A:C,2,FALSE)</f>
        <v>Ramesh</v>
      </c>
      <c r="M602" t="str">
        <f>VLOOKUP(C602,Customer_Master!A:C,3,FALSE)</f>
        <v>Consumer</v>
      </c>
      <c r="N602">
        <f>Table1[[#This Row],[Quantity]]*Table1[[#This Row],[Unit_Price]]</f>
        <v>3172</v>
      </c>
      <c r="O602">
        <f>(Table1[[#This Row],[Unit_Price]]-Table1[[#This Row],[Cost_Price]])*Table1[[#This Row],[Quantity]]</f>
        <v>972</v>
      </c>
      <c r="P602">
        <f t="shared" si="9"/>
        <v>3172</v>
      </c>
      <c r="Q602" t="str">
        <f>TEXT(Table1[[#This Row],[Order_Date]],"mmm-yyyy")</f>
        <v>Aug-2024</v>
      </c>
    </row>
    <row r="603" spans="1:17" x14ac:dyDescent="0.35">
      <c r="A603" t="s">
        <v>931</v>
      </c>
      <c r="B603" t="s">
        <v>932</v>
      </c>
      <c r="C603" t="s">
        <v>45</v>
      </c>
      <c r="D603" t="s">
        <v>37</v>
      </c>
      <c r="E603" t="s">
        <v>12</v>
      </c>
      <c r="F603" t="s">
        <v>34</v>
      </c>
      <c r="G603">
        <v>4</v>
      </c>
      <c r="H603">
        <v>1686</v>
      </c>
      <c r="I603" t="str">
        <f>VLOOKUP(D603,Product_Master!A:D,2,FALSE)</f>
        <v>Mobile</v>
      </c>
      <c r="J603" t="str">
        <f>VLOOKUP(D603,Product_Master!A:D,3,FALSE)</f>
        <v>Electronics</v>
      </c>
      <c r="K603">
        <f>VLOOKUP(D603,Product_Master!A:D,4,FALSE)</f>
        <v>600</v>
      </c>
      <c r="L603" t="str">
        <f>VLOOKUP(C603,Customer_Master!A:C,2,FALSE)</f>
        <v>TCS</v>
      </c>
      <c r="M603" t="str">
        <f>VLOOKUP(C603,Customer_Master!A:C,3,FALSE)</f>
        <v>Corporate</v>
      </c>
      <c r="N603">
        <f>Table1[[#This Row],[Quantity]]*Table1[[#This Row],[Unit_Price]]</f>
        <v>6744</v>
      </c>
      <c r="O603">
        <f>(Table1[[#This Row],[Unit_Price]]-Table1[[#This Row],[Cost_Price]])*Table1[[#This Row],[Quantity]]</f>
        <v>4344</v>
      </c>
      <c r="P603">
        <f t="shared" si="9"/>
        <v>6744</v>
      </c>
      <c r="Q603" t="str">
        <f>TEXT(Table1[[#This Row],[Order_Date]],"mmm-yyyy")</f>
        <v>Jan-2024</v>
      </c>
    </row>
    <row r="604" spans="1:17" x14ac:dyDescent="0.35">
      <c r="A604" t="s">
        <v>933</v>
      </c>
      <c r="B604" t="s">
        <v>187</v>
      </c>
      <c r="C604" t="s">
        <v>30</v>
      </c>
      <c r="D604" t="s">
        <v>11</v>
      </c>
      <c r="E604" t="s">
        <v>33</v>
      </c>
      <c r="F604" t="s">
        <v>13</v>
      </c>
      <c r="G604">
        <v>8</v>
      </c>
      <c r="H604">
        <v>1374</v>
      </c>
      <c r="I604" t="str">
        <f>VLOOKUP(D604,Product_Master!A:D,2,FALSE)</f>
        <v>Chair</v>
      </c>
      <c r="J604" t="str">
        <f>VLOOKUP(D604,Product_Master!A:D,3,FALSE)</f>
        <v>Furniture</v>
      </c>
      <c r="K604">
        <f>VLOOKUP(D604,Product_Master!A:D,4,FALSE)</f>
        <v>150</v>
      </c>
      <c r="L604" t="str">
        <f>VLOOKUP(C604,Customer_Master!A:C,2,FALSE)</f>
        <v>Infosys</v>
      </c>
      <c r="M604" t="str">
        <f>VLOOKUP(C604,Customer_Master!A:C,3,FALSE)</f>
        <v>Corporate</v>
      </c>
      <c r="N604">
        <f>Table1[[#This Row],[Quantity]]*Table1[[#This Row],[Unit_Price]]</f>
        <v>10992</v>
      </c>
      <c r="O604">
        <f>(Table1[[#This Row],[Unit_Price]]-Table1[[#This Row],[Cost_Price]])*Table1[[#This Row],[Quantity]]</f>
        <v>9792</v>
      </c>
      <c r="P604">
        <f t="shared" si="9"/>
        <v>10992</v>
      </c>
      <c r="Q604" t="str">
        <f>TEXT(Table1[[#This Row],[Order_Date]],"mmm-yyyy")</f>
        <v>Feb-2024</v>
      </c>
    </row>
    <row r="605" spans="1:17" x14ac:dyDescent="0.35">
      <c r="A605" t="s">
        <v>934</v>
      </c>
      <c r="B605" t="s">
        <v>873</v>
      </c>
      <c r="C605" t="s">
        <v>45</v>
      </c>
      <c r="D605" t="s">
        <v>22</v>
      </c>
      <c r="E605" t="s">
        <v>27</v>
      </c>
      <c r="F605" t="s">
        <v>23</v>
      </c>
      <c r="G605">
        <v>2</v>
      </c>
      <c r="H605">
        <v>1260</v>
      </c>
      <c r="I605" t="str">
        <f>VLOOKUP(D605,Product_Master!A:D,2,FALSE)</f>
        <v>Desk</v>
      </c>
      <c r="J605" t="str">
        <f>VLOOKUP(D605,Product_Master!A:D,3,FALSE)</f>
        <v>Furniture</v>
      </c>
      <c r="K605">
        <f>VLOOKUP(D605,Product_Master!A:D,4,FALSE)</f>
        <v>300</v>
      </c>
      <c r="L605" t="str">
        <f>VLOOKUP(C605,Customer_Master!A:C,2,FALSE)</f>
        <v>TCS</v>
      </c>
      <c r="M605" t="str">
        <f>VLOOKUP(C605,Customer_Master!A:C,3,FALSE)</f>
        <v>Corporate</v>
      </c>
      <c r="N605">
        <f>Table1[[#This Row],[Quantity]]*Table1[[#This Row],[Unit_Price]]</f>
        <v>2520</v>
      </c>
      <c r="O605">
        <f>(Table1[[#This Row],[Unit_Price]]-Table1[[#This Row],[Cost_Price]])*Table1[[#This Row],[Quantity]]</f>
        <v>1920</v>
      </c>
      <c r="P605">
        <f t="shared" si="9"/>
        <v>2520</v>
      </c>
      <c r="Q605" t="str">
        <f>TEXT(Table1[[#This Row],[Order_Date]],"mmm-yyyy")</f>
        <v>Sep-2024</v>
      </c>
    </row>
    <row r="606" spans="1:17" x14ac:dyDescent="0.35">
      <c r="A606" t="s">
        <v>935</v>
      </c>
      <c r="B606" t="s">
        <v>563</v>
      </c>
      <c r="C606" t="s">
        <v>45</v>
      </c>
      <c r="D606" t="s">
        <v>26</v>
      </c>
      <c r="E606" t="s">
        <v>33</v>
      </c>
      <c r="F606" t="s">
        <v>34</v>
      </c>
      <c r="G606">
        <v>9</v>
      </c>
      <c r="H606">
        <v>1754</v>
      </c>
      <c r="I606" t="str">
        <f>VLOOKUP(D606,Product_Master!A:D,2,FALSE)</f>
        <v>Laptop</v>
      </c>
      <c r="J606" t="str">
        <f>VLOOKUP(D606,Product_Master!A:D,3,FALSE)</f>
        <v>Electronics</v>
      </c>
      <c r="K606">
        <f>VLOOKUP(D606,Product_Master!A:D,4,FALSE)</f>
        <v>900</v>
      </c>
      <c r="L606" t="str">
        <f>VLOOKUP(C606,Customer_Master!A:C,2,FALSE)</f>
        <v>TCS</v>
      </c>
      <c r="M606" t="str">
        <f>VLOOKUP(C606,Customer_Master!A:C,3,FALSE)</f>
        <v>Corporate</v>
      </c>
      <c r="N606">
        <f>Table1[[#This Row],[Quantity]]*Table1[[#This Row],[Unit_Price]]</f>
        <v>15786</v>
      </c>
      <c r="O606">
        <f>(Table1[[#This Row],[Unit_Price]]-Table1[[#This Row],[Cost_Price]])*Table1[[#This Row],[Quantity]]</f>
        <v>7686</v>
      </c>
      <c r="P606">
        <f t="shared" si="9"/>
        <v>15786</v>
      </c>
      <c r="Q606" t="str">
        <f>TEXT(Table1[[#This Row],[Order_Date]],"mmm-yyyy")</f>
        <v>Dec-2024</v>
      </c>
    </row>
    <row r="607" spans="1:17" x14ac:dyDescent="0.35">
      <c r="A607" t="s">
        <v>936</v>
      </c>
      <c r="B607" t="s">
        <v>301</v>
      </c>
      <c r="C607" t="s">
        <v>42</v>
      </c>
      <c r="D607" t="s">
        <v>11</v>
      </c>
      <c r="E607" t="s">
        <v>33</v>
      </c>
      <c r="F607" t="s">
        <v>13</v>
      </c>
      <c r="G607">
        <v>5</v>
      </c>
      <c r="H607">
        <v>911</v>
      </c>
      <c r="I607" t="str">
        <f>VLOOKUP(D607,Product_Master!A:D,2,FALSE)</f>
        <v>Chair</v>
      </c>
      <c r="J607" t="str">
        <f>VLOOKUP(D607,Product_Master!A:D,3,FALSE)</f>
        <v>Furniture</v>
      </c>
      <c r="K607">
        <f>VLOOKUP(D607,Product_Master!A:D,4,FALSE)</f>
        <v>150</v>
      </c>
      <c r="L607" t="str">
        <f>VLOOKUP(C607,Customer_Master!A:C,2,FALSE)</f>
        <v>Ramesh</v>
      </c>
      <c r="M607" t="str">
        <f>VLOOKUP(C607,Customer_Master!A:C,3,FALSE)</f>
        <v>Consumer</v>
      </c>
      <c r="N607">
        <f>Table1[[#This Row],[Quantity]]*Table1[[#This Row],[Unit_Price]]</f>
        <v>4555</v>
      </c>
      <c r="O607">
        <f>(Table1[[#This Row],[Unit_Price]]-Table1[[#This Row],[Cost_Price]])*Table1[[#This Row],[Quantity]]</f>
        <v>3805</v>
      </c>
      <c r="P607">
        <f t="shared" si="9"/>
        <v>4555</v>
      </c>
      <c r="Q607" t="str">
        <f>TEXT(Table1[[#This Row],[Order_Date]],"mmm-yyyy")</f>
        <v>Mar-2024</v>
      </c>
    </row>
    <row r="608" spans="1:17" x14ac:dyDescent="0.35">
      <c r="A608" t="s">
        <v>937</v>
      </c>
      <c r="B608" t="s">
        <v>904</v>
      </c>
      <c r="C608" t="s">
        <v>30</v>
      </c>
      <c r="D608" t="s">
        <v>11</v>
      </c>
      <c r="E608" t="s">
        <v>33</v>
      </c>
      <c r="F608" t="s">
        <v>13</v>
      </c>
      <c r="G608">
        <v>2</v>
      </c>
      <c r="H608">
        <v>1986</v>
      </c>
      <c r="I608" t="str">
        <f>VLOOKUP(D608,Product_Master!A:D,2,FALSE)</f>
        <v>Chair</v>
      </c>
      <c r="J608" t="str">
        <f>VLOOKUP(D608,Product_Master!A:D,3,FALSE)</f>
        <v>Furniture</v>
      </c>
      <c r="K608">
        <f>VLOOKUP(D608,Product_Master!A:D,4,FALSE)</f>
        <v>150</v>
      </c>
      <c r="L608" t="str">
        <f>VLOOKUP(C608,Customer_Master!A:C,2,FALSE)</f>
        <v>Infosys</v>
      </c>
      <c r="M608" t="str">
        <f>VLOOKUP(C608,Customer_Master!A:C,3,FALSE)</f>
        <v>Corporate</v>
      </c>
      <c r="N608">
        <f>Table1[[#This Row],[Quantity]]*Table1[[#This Row],[Unit_Price]]</f>
        <v>3972</v>
      </c>
      <c r="O608">
        <f>(Table1[[#This Row],[Unit_Price]]-Table1[[#This Row],[Cost_Price]])*Table1[[#This Row],[Quantity]]</f>
        <v>3672</v>
      </c>
      <c r="P608">
        <f t="shared" si="9"/>
        <v>3972</v>
      </c>
      <c r="Q608" t="str">
        <f>TEXT(Table1[[#This Row],[Order_Date]],"mmm-yyyy")</f>
        <v>Dec-2024</v>
      </c>
    </row>
    <row r="609" spans="1:17" x14ac:dyDescent="0.35">
      <c r="A609" t="s">
        <v>938</v>
      </c>
      <c r="B609" t="s">
        <v>432</v>
      </c>
      <c r="C609" t="s">
        <v>42</v>
      </c>
      <c r="D609" t="s">
        <v>11</v>
      </c>
      <c r="E609" t="s">
        <v>12</v>
      </c>
      <c r="F609" t="s">
        <v>34</v>
      </c>
      <c r="G609">
        <v>1</v>
      </c>
      <c r="H609">
        <v>876</v>
      </c>
      <c r="I609" t="str">
        <f>VLOOKUP(D609,Product_Master!A:D,2,FALSE)</f>
        <v>Chair</v>
      </c>
      <c r="J609" t="str">
        <f>VLOOKUP(D609,Product_Master!A:D,3,FALSE)</f>
        <v>Furniture</v>
      </c>
      <c r="K609">
        <f>VLOOKUP(D609,Product_Master!A:D,4,FALSE)</f>
        <v>150</v>
      </c>
      <c r="L609" t="str">
        <f>VLOOKUP(C609,Customer_Master!A:C,2,FALSE)</f>
        <v>Ramesh</v>
      </c>
      <c r="M609" t="str">
        <f>VLOOKUP(C609,Customer_Master!A:C,3,FALSE)</f>
        <v>Consumer</v>
      </c>
      <c r="N609">
        <f>Table1[[#This Row],[Quantity]]*Table1[[#This Row],[Unit_Price]]</f>
        <v>876</v>
      </c>
      <c r="O609">
        <f>(Table1[[#This Row],[Unit_Price]]-Table1[[#This Row],[Cost_Price]])*Table1[[#This Row],[Quantity]]</f>
        <v>726</v>
      </c>
      <c r="P609">
        <f t="shared" si="9"/>
        <v>876</v>
      </c>
      <c r="Q609" t="str">
        <f>TEXT(Table1[[#This Row],[Order_Date]],"mmm-yyyy")</f>
        <v>Jun-2024</v>
      </c>
    </row>
    <row r="610" spans="1:17" x14ac:dyDescent="0.35">
      <c r="A610" t="s">
        <v>939</v>
      </c>
      <c r="B610" t="s">
        <v>940</v>
      </c>
      <c r="C610" t="s">
        <v>10</v>
      </c>
      <c r="D610" t="s">
        <v>26</v>
      </c>
      <c r="E610" t="s">
        <v>17</v>
      </c>
      <c r="F610" t="s">
        <v>18</v>
      </c>
      <c r="G610">
        <v>10</v>
      </c>
      <c r="H610">
        <v>1089</v>
      </c>
      <c r="I610" t="str">
        <f>VLOOKUP(D610,Product_Master!A:D,2,FALSE)</f>
        <v>Laptop</v>
      </c>
      <c r="J610" t="str">
        <f>VLOOKUP(D610,Product_Master!A:D,3,FALSE)</f>
        <v>Electronics</v>
      </c>
      <c r="K610">
        <f>VLOOKUP(D610,Product_Master!A:D,4,FALSE)</f>
        <v>900</v>
      </c>
      <c r="L610" t="str">
        <f>VLOOKUP(C610,Customer_Master!A:C,2,FALSE)</f>
        <v>Suresh</v>
      </c>
      <c r="M610" t="str">
        <f>VLOOKUP(C610,Customer_Master!A:C,3,FALSE)</f>
        <v>Consumer</v>
      </c>
      <c r="N610">
        <f>Table1[[#This Row],[Quantity]]*Table1[[#This Row],[Unit_Price]]</f>
        <v>10890</v>
      </c>
      <c r="O610">
        <f>(Table1[[#This Row],[Unit_Price]]-Table1[[#This Row],[Cost_Price]])*Table1[[#This Row],[Quantity]]</f>
        <v>1890</v>
      </c>
      <c r="P610">
        <f t="shared" si="9"/>
        <v>10890</v>
      </c>
      <c r="Q610" t="str">
        <f>TEXT(Table1[[#This Row],[Order_Date]],"mmm-yyyy")</f>
        <v>Jan-2024</v>
      </c>
    </row>
    <row r="611" spans="1:17" x14ac:dyDescent="0.35">
      <c r="A611" t="s">
        <v>941</v>
      </c>
      <c r="B611" t="s">
        <v>942</v>
      </c>
      <c r="C611" t="s">
        <v>45</v>
      </c>
      <c r="D611" t="s">
        <v>22</v>
      </c>
      <c r="E611" t="s">
        <v>33</v>
      </c>
      <c r="F611" t="s">
        <v>34</v>
      </c>
      <c r="G611">
        <v>1</v>
      </c>
      <c r="H611">
        <v>1461</v>
      </c>
      <c r="I611" t="str">
        <f>VLOOKUP(D611,Product_Master!A:D,2,FALSE)</f>
        <v>Desk</v>
      </c>
      <c r="J611" t="str">
        <f>VLOOKUP(D611,Product_Master!A:D,3,FALSE)</f>
        <v>Furniture</v>
      </c>
      <c r="K611">
        <f>VLOOKUP(D611,Product_Master!A:D,4,FALSE)</f>
        <v>300</v>
      </c>
      <c r="L611" t="str">
        <f>VLOOKUP(C611,Customer_Master!A:C,2,FALSE)</f>
        <v>TCS</v>
      </c>
      <c r="M611" t="str">
        <f>VLOOKUP(C611,Customer_Master!A:C,3,FALSE)</f>
        <v>Corporate</v>
      </c>
      <c r="N611">
        <f>Table1[[#This Row],[Quantity]]*Table1[[#This Row],[Unit_Price]]</f>
        <v>1461</v>
      </c>
      <c r="O611">
        <f>(Table1[[#This Row],[Unit_Price]]-Table1[[#This Row],[Cost_Price]])*Table1[[#This Row],[Quantity]]</f>
        <v>1161</v>
      </c>
      <c r="P611">
        <f t="shared" si="9"/>
        <v>1461</v>
      </c>
      <c r="Q611" t="str">
        <f>TEXT(Table1[[#This Row],[Order_Date]],"mmm-yyyy")</f>
        <v>Nov-2024</v>
      </c>
    </row>
    <row r="612" spans="1:17" x14ac:dyDescent="0.35">
      <c r="A612" t="s">
        <v>943</v>
      </c>
      <c r="B612" t="s">
        <v>223</v>
      </c>
      <c r="C612" t="s">
        <v>42</v>
      </c>
      <c r="D612" t="s">
        <v>22</v>
      </c>
      <c r="E612" t="s">
        <v>12</v>
      </c>
      <c r="F612" t="s">
        <v>13</v>
      </c>
      <c r="G612">
        <v>4</v>
      </c>
      <c r="H612">
        <v>1829</v>
      </c>
      <c r="I612" t="str">
        <f>VLOOKUP(D612,Product_Master!A:D,2,FALSE)</f>
        <v>Desk</v>
      </c>
      <c r="J612" t="str">
        <f>VLOOKUP(D612,Product_Master!A:D,3,FALSE)</f>
        <v>Furniture</v>
      </c>
      <c r="K612">
        <f>VLOOKUP(D612,Product_Master!A:D,4,FALSE)</f>
        <v>300</v>
      </c>
      <c r="L612" t="str">
        <f>VLOOKUP(C612,Customer_Master!A:C,2,FALSE)</f>
        <v>Ramesh</v>
      </c>
      <c r="M612" t="str">
        <f>VLOOKUP(C612,Customer_Master!A:C,3,FALSE)</f>
        <v>Consumer</v>
      </c>
      <c r="N612">
        <f>Table1[[#This Row],[Quantity]]*Table1[[#This Row],[Unit_Price]]</f>
        <v>7316</v>
      </c>
      <c r="O612">
        <f>(Table1[[#This Row],[Unit_Price]]-Table1[[#This Row],[Cost_Price]])*Table1[[#This Row],[Quantity]]</f>
        <v>6116</v>
      </c>
      <c r="P612">
        <f t="shared" si="9"/>
        <v>7316</v>
      </c>
      <c r="Q612" t="str">
        <f>TEXT(Table1[[#This Row],[Order_Date]],"mmm-yyyy")</f>
        <v>Sep-2024</v>
      </c>
    </row>
    <row r="613" spans="1:17" x14ac:dyDescent="0.35">
      <c r="A613" t="s">
        <v>944</v>
      </c>
      <c r="B613" t="s">
        <v>161</v>
      </c>
      <c r="C613" t="s">
        <v>10</v>
      </c>
      <c r="D613" t="s">
        <v>37</v>
      </c>
      <c r="E613" t="s">
        <v>12</v>
      </c>
      <c r="F613" t="s">
        <v>23</v>
      </c>
      <c r="G613">
        <v>9</v>
      </c>
      <c r="H613">
        <v>1877</v>
      </c>
      <c r="I613" t="str">
        <f>VLOOKUP(D613,Product_Master!A:D,2,FALSE)</f>
        <v>Mobile</v>
      </c>
      <c r="J613" t="str">
        <f>VLOOKUP(D613,Product_Master!A:D,3,FALSE)</f>
        <v>Electronics</v>
      </c>
      <c r="K613">
        <f>VLOOKUP(D613,Product_Master!A:D,4,FALSE)</f>
        <v>600</v>
      </c>
      <c r="L613" t="str">
        <f>VLOOKUP(C613,Customer_Master!A:C,2,FALSE)</f>
        <v>Suresh</v>
      </c>
      <c r="M613" t="str">
        <f>VLOOKUP(C613,Customer_Master!A:C,3,FALSE)</f>
        <v>Consumer</v>
      </c>
      <c r="N613">
        <f>Table1[[#This Row],[Quantity]]*Table1[[#This Row],[Unit_Price]]</f>
        <v>16893</v>
      </c>
      <c r="O613">
        <f>(Table1[[#This Row],[Unit_Price]]-Table1[[#This Row],[Cost_Price]])*Table1[[#This Row],[Quantity]]</f>
        <v>11493</v>
      </c>
      <c r="P613">
        <f t="shared" si="9"/>
        <v>16893</v>
      </c>
      <c r="Q613" t="str">
        <f>TEXT(Table1[[#This Row],[Order_Date]],"mmm-yyyy")</f>
        <v>Jun-2024</v>
      </c>
    </row>
    <row r="614" spans="1:17" x14ac:dyDescent="0.35">
      <c r="A614" t="s">
        <v>945</v>
      </c>
      <c r="B614" t="s">
        <v>41</v>
      </c>
      <c r="C614" t="s">
        <v>10</v>
      </c>
      <c r="D614" t="s">
        <v>26</v>
      </c>
      <c r="E614" t="s">
        <v>12</v>
      </c>
      <c r="F614" t="s">
        <v>34</v>
      </c>
      <c r="G614">
        <v>2</v>
      </c>
      <c r="H614">
        <v>1955</v>
      </c>
      <c r="I614" t="str">
        <f>VLOOKUP(D614,Product_Master!A:D,2,FALSE)</f>
        <v>Laptop</v>
      </c>
      <c r="J614" t="str">
        <f>VLOOKUP(D614,Product_Master!A:D,3,FALSE)</f>
        <v>Electronics</v>
      </c>
      <c r="K614">
        <f>VLOOKUP(D614,Product_Master!A:D,4,FALSE)</f>
        <v>900</v>
      </c>
      <c r="L614" t="str">
        <f>VLOOKUP(C614,Customer_Master!A:C,2,FALSE)</f>
        <v>Suresh</v>
      </c>
      <c r="M614" t="str">
        <f>VLOOKUP(C614,Customer_Master!A:C,3,FALSE)</f>
        <v>Consumer</v>
      </c>
      <c r="N614">
        <f>Table1[[#This Row],[Quantity]]*Table1[[#This Row],[Unit_Price]]</f>
        <v>3910</v>
      </c>
      <c r="O614">
        <f>(Table1[[#This Row],[Unit_Price]]-Table1[[#This Row],[Cost_Price]])*Table1[[#This Row],[Quantity]]</f>
        <v>2110</v>
      </c>
      <c r="P614">
        <f t="shared" si="9"/>
        <v>3910</v>
      </c>
      <c r="Q614" t="str">
        <f>TEXT(Table1[[#This Row],[Order_Date]],"mmm-yyyy")</f>
        <v>Apr-2024</v>
      </c>
    </row>
    <row r="615" spans="1:17" x14ac:dyDescent="0.35">
      <c r="A615" t="s">
        <v>946</v>
      </c>
      <c r="B615" t="s">
        <v>645</v>
      </c>
      <c r="C615" t="s">
        <v>45</v>
      </c>
      <c r="D615" t="s">
        <v>16</v>
      </c>
      <c r="E615" t="s">
        <v>33</v>
      </c>
      <c r="F615" t="s">
        <v>18</v>
      </c>
      <c r="G615">
        <v>10</v>
      </c>
      <c r="H615">
        <v>1623</v>
      </c>
      <c r="I615" t="str">
        <f>VLOOKUP(D615,Product_Master!A:D,2,FALSE)</f>
        <v>Printer</v>
      </c>
      <c r="J615" t="str">
        <f>VLOOKUP(D615,Product_Master!A:D,3,FALSE)</f>
        <v>Electronics</v>
      </c>
      <c r="K615">
        <f>VLOOKUP(D615,Product_Master!A:D,4,FALSE)</f>
        <v>1100</v>
      </c>
      <c r="L615" t="str">
        <f>VLOOKUP(C615,Customer_Master!A:C,2,FALSE)</f>
        <v>TCS</v>
      </c>
      <c r="M615" t="str">
        <f>VLOOKUP(C615,Customer_Master!A:C,3,FALSE)</f>
        <v>Corporate</v>
      </c>
      <c r="N615">
        <f>Table1[[#This Row],[Quantity]]*Table1[[#This Row],[Unit_Price]]</f>
        <v>16230</v>
      </c>
      <c r="O615">
        <f>(Table1[[#This Row],[Unit_Price]]-Table1[[#This Row],[Cost_Price]])*Table1[[#This Row],[Quantity]]</f>
        <v>5230</v>
      </c>
      <c r="P615">
        <f t="shared" si="9"/>
        <v>16230</v>
      </c>
      <c r="Q615" t="str">
        <f>TEXT(Table1[[#This Row],[Order_Date]],"mmm-yyyy")</f>
        <v>Feb-2024</v>
      </c>
    </row>
    <row r="616" spans="1:17" x14ac:dyDescent="0.35">
      <c r="A616" t="s">
        <v>947</v>
      </c>
      <c r="B616" t="s">
        <v>384</v>
      </c>
      <c r="C616" t="s">
        <v>45</v>
      </c>
      <c r="D616" t="s">
        <v>11</v>
      </c>
      <c r="E616" t="s">
        <v>27</v>
      </c>
      <c r="F616" t="s">
        <v>18</v>
      </c>
      <c r="G616">
        <v>6</v>
      </c>
      <c r="H616">
        <v>823</v>
      </c>
      <c r="I616" t="str">
        <f>VLOOKUP(D616,Product_Master!A:D,2,FALSE)</f>
        <v>Chair</v>
      </c>
      <c r="J616" t="str">
        <f>VLOOKUP(D616,Product_Master!A:D,3,FALSE)</f>
        <v>Furniture</v>
      </c>
      <c r="K616">
        <f>VLOOKUP(D616,Product_Master!A:D,4,FALSE)</f>
        <v>150</v>
      </c>
      <c r="L616" t="str">
        <f>VLOOKUP(C616,Customer_Master!A:C,2,FALSE)</f>
        <v>TCS</v>
      </c>
      <c r="M616" t="str">
        <f>VLOOKUP(C616,Customer_Master!A:C,3,FALSE)</f>
        <v>Corporate</v>
      </c>
      <c r="N616">
        <f>Table1[[#This Row],[Quantity]]*Table1[[#This Row],[Unit_Price]]</f>
        <v>4938</v>
      </c>
      <c r="O616">
        <f>(Table1[[#This Row],[Unit_Price]]-Table1[[#This Row],[Cost_Price]])*Table1[[#This Row],[Quantity]]</f>
        <v>4038</v>
      </c>
      <c r="P616">
        <f t="shared" si="9"/>
        <v>4938</v>
      </c>
      <c r="Q616" t="str">
        <f>TEXT(Table1[[#This Row],[Order_Date]],"mmm-yyyy")</f>
        <v>Jan-2024</v>
      </c>
    </row>
    <row r="617" spans="1:17" x14ac:dyDescent="0.35">
      <c r="A617" t="s">
        <v>948</v>
      </c>
      <c r="B617" t="s">
        <v>121</v>
      </c>
      <c r="C617" t="s">
        <v>42</v>
      </c>
      <c r="D617" t="s">
        <v>37</v>
      </c>
      <c r="E617" t="s">
        <v>33</v>
      </c>
      <c r="F617" t="s">
        <v>18</v>
      </c>
      <c r="G617">
        <v>10</v>
      </c>
      <c r="H617">
        <v>1117</v>
      </c>
      <c r="I617" t="str">
        <f>VLOOKUP(D617,Product_Master!A:D,2,FALSE)</f>
        <v>Mobile</v>
      </c>
      <c r="J617" t="str">
        <f>VLOOKUP(D617,Product_Master!A:D,3,FALSE)</f>
        <v>Electronics</v>
      </c>
      <c r="K617">
        <f>VLOOKUP(D617,Product_Master!A:D,4,FALSE)</f>
        <v>600</v>
      </c>
      <c r="L617" t="str">
        <f>VLOOKUP(C617,Customer_Master!A:C,2,FALSE)</f>
        <v>Ramesh</v>
      </c>
      <c r="M617" t="str">
        <f>VLOOKUP(C617,Customer_Master!A:C,3,FALSE)</f>
        <v>Consumer</v>
      </c>
      <c r="N617">
        <f>Table1[[#This Row],[Quantity]]*Table1[[#This Row],[Unit_Price]]</f>
        <v>11170</v>
      </c>
      <c r="O617">
        <f>(Table1[[#This Row],[Unit_Price]]-Table1[[#This Row],[Cost_Price]])*Table1[[#This Row],[Quantity]]</f>
        <v>5170</v>
      </c>
      <c r="P617">
        <f t="shared" si="9"/>
        <v>11170</v>
      </c>
      <c r="Q617" t="str">
        <f>TEXT(Table1[[#This Row],[Order_Date]],"mmm-yyyy")</f>
        <v>Nov-2024</v>
      </c>
    </row>
    <row r="618" spans="1:17" x14ac:dyDescent="0.35">
      <c r="A618" t="s">
        <v>949</v>
      </c>
      <c r="B618" t="s">
        <v>509</v>
      </c>
      <c r="C618" t="s">
        <v>45</v>
      </c>
      <c r="D618" t="s">
        <v>26</v>
      </c>
      <c r="E618" t="s">
        <v>33</v>
      </c>
      <c r="F618" t="s">
        <v>34</v>
      </c>
      <c r="G618">
        <v>4</v>
      </c>
      <c r="H618">
        <v>1477</v>
      </c>
      <c r="I618" t="str">
        <f>VLOOKUP(D618,Product_Master!A:D,2,FALSE)</f>
        <v>Laptop</v>
      </c>
      <c r="J618" t="str">
        <f>VLOOKUP(D618,Product_Master!A:D,3,FALSE)</f>
        <v>Electronics</v>
      </c>
      <c r="K618">
        <f>VLOOKUP(D618,Product_Master!A:D,4,FALSE)</f>
        <v>900</v>
      </c>
      <c r="L618" t="str">
        <f>VLOOKUP(C618,Customer_Master!A:C,2,FALSE)</f>
        <v>TCS</v>
      </c>
      <c r="M618" t="str">
        <f>VLOOKUP(C618,Customer_Master!A:C,3,FALSE)</f>
        <v>Corporate</v>
      </c>
      <c r="N618">
        <f>Table1[[#This Row],[Quantity]]*Table1[[#This Row],[Unit_Price]]</f>
        <v>5908</v>
      </c>
      <c r="O618">
        <f>(Table1[[#This Row],[Unit_Price]]-Table1[[#This Row],[Cost_Price]])*Table1[[#This Row],[Quantity]]</f>
        <v>2308</v>
      </c>
      <c r="P618">
        <f t="shared" si="9"/>
        <v>5908</v>
      </c>
      <c r="Q618" t="str">
        <f>TEXT(Table1[[#This Row],[Order_Date]],"mmm-yyyy")</f>
        <v>Dec-2024</v>
      </c>
    </row>
    <row r="619" spans="1:17" x14ac:dyDescent="0.35">
      <c r="A619" t="s">
        <v>950</v>
      </c>
      <c r="B619" t="s">
        <v>951</v>
      </c>
      <c r="C619" t="s">
        <v>10</v>
      </c>
      <c r="D619" t="s">
        <v>37</v>
      </c>
      <c r="E619" t="s">
        <v>12</v>
      </c>
      <c r="F619" t="s">
        <v>13</v>
      </c>
      <c r="G619">
        <v>3</v>
      </c>
      <c r="H619">
        <v>1837</v>
      </c>
      <c r="I619" t="str">
        <f>VLOOKUP(D619,Product_Master!A:D,2,FALSE)</f>
        <v>Mobile</v>
      </c>
      <c r="J619" t="str">
        <f>VLOOKUP(D619,Product_Master!A:D,3,FALSE)</f>
        <v>Electronics</v>
      </c>
      <c r="K619">
        <f>VLOOKUP(D619,Product_Master!A:D,4,FALSE)</f>
        <v>600</v>
      </c>
      <c r="L619" t="str">
        <f>VLOOKUP(C619,Customer_Master!A:C,2,FALSE)</f>
        <v>Suresh</v>
      </c>
      <c r="M619" t="str">
        <f>VLOOKUP(C619,Customer_Master!A:C,3,FALSE)</f>
        <v>Consumer</v>
      </c>
      <c r="N619">
        <f>Table1[[#This Row],[Quantity]]*Table1[[#This Row],[Unit_Price]]</f>
        <v>5511</v>
      </c>
      <c r="O619">
        <f>(Table1[[#This Row],[Unit_Price]]-Table1[[#This Row],[Cost_Price]])*Table1[[#This Row],[Quantity]]</f>
        <v>3711</v>
      </c>
      <c r="P619">
        <f t="shared" si="9"/>
        <v>5511</v>
      </c>
      <c r="Q619" t="str">
        <f>TEXT(Table1[[#This Row],[Order_Date]],"mmm-yyyy")</f>
        <v>Sep-2024</v>
      </c>
    </row>
    <row r="620" spans="1:17" x14ac:dyDescent="0.35">
      <c r="A620" t="s">
        <v>952</v>
      </c>
      <c r="B620" t="s">
        <v>622</v>
      </c>
      <c r="C620" t="s">
        <v>30</v>
      </c>
      <c r="D620" t="s">
        <v>22</v>
      </c>
      <c r="E620" t="s">
        <v>12</v>
      </c>
      <c r="F620" t="s">
        <v>34</v>
      </c>
      <c r="G620">
        <v>8</v>
      </c>
      <c r="H620">
        <v>879</v>
      </c>
      <c r="I620" t="str">
        <f>VLOOKUP(D620,Product_Master!A:D,2,FALSE)</f>
        <v>Desk</v>
      </c>
      <c r="J620" t="str">
        <f>VLOOKUP(D620,Product_Master!A:D,3,FALSE)</f>
        <v>Furniture</v>
      </c>
      <c r="K620">
        <f>VLOOKUP(D620,Product_Master!A:D,4,FALSE)</f>
        <v>300</v>
      </c>
      <c r="L620" t="str">
        <f>VLOOKUP(C620,Customer_Master!A:C,2,FALSE)</f>
        <v>Infosys</v>
      </c>
      <c r="M620" t="str">
        <f>VLOOKUP(C620,Customer_Master!A:C,3,FALSE)</f>
        <v>Corporate</v>
      </c>
      <c r="N620">
        <f>Table1[[#This Row],[Quantity]]*Table1[[#This Row],[Unit_Price]]</f>
        <v>7032</v>
      </c>
      <c r="O620">
        <f>(Table1[[#This Row],[Unit_Price]]-Table1[[#This Row],[Cost_Price]])*Table1[[#This Row],[Quantity]]</f>
        <v>4632</v>
      </c>
      <c r="P620">
        <f t="shared" si="9"/>
        <v>7032</v>
      </c>
      <c r="Q620" t="str">
        <f>TEXT(Table1[[#This Row],[Order_Date]],"mmm-yyyy")</f>
        <v>May-2024</v>
      </c>
    </row>
    <row r="621" spans="1:17" x14ac:dyDescent="0.35">
      <c r="A621" t="s">
        <v>953</v>
      </c>
      <c r="B621" t="s">
        <v>294</v>
      </c>
      <c r="C621" t="s">
        <v>45</v>
      </c>
      <c r="D621" t="s">
        <v>22</v>
      </c>
      <c r="E621" t="s">
        <v>17</v>
      </c>
      <c r="F621" t="s">
        <v>23</v>
      </c>
      <c r="G621">
        <v>9</v>
      </c>
      <c r="H621">
        <v>1667</v>
      </c>
      <c r="I621" t="str">
        <f>VLOOKUP(D621,Product_Master!A:D,2,FALSE)</f>
        <v>Desk</v>
      </c>
      <c r="J621" t="str">
        <f>VLOOKUP(D621,Product_Master!A:D,3,FALSE)</f>
        <v>Furniture</v>
      </c>
      <c r="K621">
        <f>VLOOKUP(D621,Product_Master!A:D,4,FALSE)</f>
        <v>300</v>
      </c>
      <c r="L621" t="str">
        <f>VLOOKUP(C621,Customer_Master!A:C,2,FALSE)</f>
        <v>TCS</v>
      </c>
      <c r="M621" t="str">
        <f>VLOOKUP(C621,Customer_Master!A:C,3,FALSE)</f>
        <v>Corporate</v>
      </c>
      <c r="N621">
        <f>Table1[[#This Row],[Quantity]]*Table1[[#This Row],[Unit_Price]]</f>
        <v>15003</v>
      </c>
      <c r="O621">
        <f>(Table1[[#This Row],[Unit_Price]]-Table1[[#This Row],[Cost_Price]])*Table1[[#This Row],[Quantity]]</f>
        <v>12303</v>
      </c>
      <c r="P621">
        <f t="shared" si="9"/>
        <v>15003</v>
      </c>
      <c r="Q621" t="str">
        <f>TEXT(Table1[[#This Row],[Order_Date]],"mmm-yyyy")</f>
        <v>Jun-2024</v>
      </c>
    </row>
    <row r="622" spans="1:17" x14ac:dyDescent="0.35">
      <c r="A622" t="s">
        <v>954</v>
      </c>
      <c r="B622" t="s">
        <v>552</v>
      </c>
      <c r="C622" t="s">
        <v>45</v>
      </c>
      <c r="D622" t="s">
        <v>22</v>
      </c>
      <c r="E622" t="s">
        <v>12</v>
      </c>
      <c r="F622" t="s">
        <v>23</v>
      </c>
      <c r="G622">
        <v>3</v>
      </c>
      <c r="H622">
        <v>1935</v>
      </c>
      <c r="I622" t="str">
        <f>VLOOKUP(D622,Product_Master!A:D,2,FALSE)</f>
        <v>Desk</v>
      </c>
      <c r="J622" t="str">
        <f>VLOOKUP(D622,Product_Master!A:D,3,FALSE)</f>
        <v>Furniture</v>
      </c>
      <c r="K622">
        <f>VLOOKUP(D622,Product_Master!A:D,4,FALSE)</f>
        <v>300</v>
      </c>
      <c r="L622" t="str">
        <f>VLOOKUP(C622,Customer_Master!A:C,2,FALSE)</f>
        <v>TCS</v>
      </c>
      <c r="M622" t="str">
        <f>VLOOKUP(C622,Customer_Master!A:C,3,FALSE)</f>
        <v>Corporate</v>
      </c>
      <c r="N622">
        <f>Table1[[#This Row],[Quantity]]*Table1[[#This Row],[Unit_Price]]</f>
        <v>5805</v>
      </c>
      <c r="O622">
        <f>(Table1[[#This Row],[Unit_Price]]-Table1[[#This Row],[Cost_Price]])*Table1[[#This Row],[Quantity]]</f>
        <v>4905</v>
      </c>
      <c r="P622">
        <f t="shared" si="9"/>
        <v>5805</v>
      </c>
      <c r="Q622" t="str">
        <f>TEXT(Table1[[#This Row],[Order_Date]],"mmm-yyyy")</f>
        <v>Sep-2024</v>
      </c>
    </row>
    <row r="623" spans="1:17" x14ac:dyDescent="0.35">
      <c r="A623" t="s">
        <v>955</v>
      </c>
      <c r="B623" t="s">
        <v>64</v>
      </c>
      <c r="C623" t="s">
        <v>42</v>
      </c>
      <c r="D623" t="s">
        <v>16</v>
      </c>
      <c r="E623" t="s">
        <v>33</v>
      </c>
      <c r="F623" t="s">
        <v>13</v>
      </c>
      <c r="G623">
        <v>2</v>
      </c>
      <c r="H623">
        <v>916</v>
      </c>
      <c r="I623" t="str">
        <f>VLOOKUP(D623,Product_Master!A:D,2,FALSE)</f>
        <v>Printer</v>
      </c>
      <c r="J623" t="str">
        <f>VLOOKUP(D623,Product_Master!A:D,3,FALSE)</f>
        <v>Electronics</v>
      </c>
      <c r="K623">
        <f>VLOOKUP(D623,Product_Master!A:D,4,FALSE)</f>
        <v>1100</v>
      </c>
      <c r="L623" t="str">
        <f>VLOOKUP(C623,Customer_Master!A:C,2,FALSE)</f>
        <v>Ramesh</v>
      </c>
      <c r="M623" t="str">
        <f>VLOOKUP(C623,Customer_Master!A:C,3,FALSE)</f>
        <v>Consumer</v>
      </c>
      <c r="N623">
        <f>Table1[[#This Row],[Quantity]]*Table1[[#This Row],[Unit_Price]]</f>
        <v>1832</v>
      </c>
      <c r="O623">
        <f>(Table1[[#This Row],[Unit_Price]]-Table1[[#This Row],[Cost_Price]])*Table1[[#This Row],[Quantity]]</f>
        <v>-368</v>
      </c>
      <c r="P623">
        <f t="shared" si="9"/>
        <v>1832</v>
      </c>
      <c r="Q623" t="str">
        <f>TEXT(Table1[[#This Row],[Order_Date]],"mmm-yyyy")</f>
        <v>Nov-2024</v>
      </c>
    </row>
    <row r="624" spans="1:17" x14ac:dyDescent="0.35">
      <c r="A624" t="s">
        <v>956</v>
      </c>
      <c r="B624" t="s">
        <v>685</v>
      </c>
      <c r="C624" t="s">
        <v>42</v>
      </c>
      <c r="D624" t="s">
        <v>26</v>
      </c>
      <c r="E624" t="s">
        <v>12</v>
      </c>
      <c r="F624" t="s">
        <v>34</v>
      </c>
      <c r="G624">
        <v>7</v>
      </c>
      <c r="H624">
        <v>935</v>
      </c>
      <c r="I624" t="str">
        <f>VLOOKUP(D624,Product_Master!A:D,2,FALSE)</f>
        <v>Laptop</v>
      </c>
      <c r="J624" t="str">
        <f>VLOOKUP(D624,Product_Master!A:D,3,FALSE)</f>
        <v>Electronics</v>
      </c>
      <c r="K624">
        <f>VLOOKUP(D624,Product_Master!A:D,4,FALSE)</f>
        <v>900</v>
      </c>
      <c r="L624" t="str">
        <f>VLOOKUP(C624,Customer_Master!A:C,2,FALSE)</f>
        <v>Ramesh</v>
      </c>
      <c r="M624" t="str">
        <f>VLOOKUP(C624,Customer_Master!A:C,3,FALSE)</f>
        <v>Consumer</v>
      </c>
      <c r="N624">
        <f>Table1[[#This Row],[Quantity]]*Table1[[#This Row],[Unit_Price]]</f>
        <v>6545</v>
      </c>
      <c r="O624">
        <f>(Table1[[#This Row],[Unit_Price]]-Table1[[#This Row],[Cost_Price]])*Table1[[#This Row],[Quantity]]</f>
        <v>245</v>
      </c>
      <c r="P624">
        <f t="shared" si="9"/>
        <v>6545</v>
      </c>
      <c r="Q624" t="str">
        <f>TEXT(Table1[[#This Row],[Order_Date]],"mmm-yyyy")</f>
        <v>Aug-2024</v>
      </c>
    </row>
    <row r="625" spans="1:17" x14ac:dyDescent="0.35">
      <c r="A625" t="s">
        <v>957</v>
      </c>
      <c r="B625" t="s">
        <v>958</v>
      </c>
      <c r="C625" t="s">
        <v>10</v>
      </c>
      <c r="D625" t="s">
        <v>11</v>
      </c>
      <c r="E625" t="s">
        <v>33</v>
      </c>
      <c r="F625" t="s">
        <v>23</v>
      </c>
      <c r="G625">
        <v>4</v>
      </c>
      <c r="H625">
        <v>807</v>
      </c>
      <c r="I625" t="str">
        <f>VLOOKUP(D625,Product_Master!A:D,2,FALSE)</f>
        <v>Chair</v>
      </c>
      <c r="J625" t="str">
        <f>VLOOKUP(D625,Product_Master!A:D,3,FALSE)</f>
        <v>Furniture</v>
      </c>
      <c r="K625">
        <f>VLOOKUP(D625,Product_Master!A:D,4,FALSE)</f>
        <v>150</v>
      </c>
      <c r="L625" t="str">
        <f>VLOOKUP(C625,Customer_Master!A:C,2,FALSE)</f>
        <v>Suresh</v>
      </c>
      <c r="M625" t="str">
        <f>VLOOKUP(C625,Customer_Master!A:C,3,FALSE)</f>
        <v>Consumer</v>
      </c>
      <c r="N625">
        <f>Table1[[#This Row],[Quantity]]*Table1[[#This Row],[Unit_Price]]</f>
        <v>3228</v>
      </c>
      <c r="O625">
        <f>(Table1[[#This Row],[Unit_Price]]-Table1[[#This Row],[Cost_Price]])*Table1[[#This Row],[Quantity]]</f>
        <v>2628</v>
      </c>
      <c r="P625">
        <f t="shared" si="9"/>
        <v>3228</v>
      </c>
      <c r="Q625" t="str">
        <f>TEXT(Table1[[#This Row],[Order_Date]],"mmm-yyyy")</f>
        <v>Sep-2024</v>
      </c>
    </row>
    <row r="626" spans="1:17" x14ac:dyDescent="0.35">
      <c r="A626" t="s">
        <v>959</v>
      </c>
      <c r="B626" t="s">
        <v>409</v>
      </c>
      <c r="C626" t="s">
        <v>10</v>
      </c>
      <c r="D626" t="s">
        <v>22</v>
      </c>
      <c r="E626" t="s">
        <v>17</v>
      </c>
      <c r="F626" t="s">
        <v>18</v>
      </c>
      <c r="G626">
        <v>4</v>
      </c>
      <c r="H626">
        <v>1613</v>
      </c>
      <c r="I626" t="str">
        <f>VLOOKUP(D626,Product_Master!A:D,2,FALSE)</f>
        <v>Desk</v>
      </c>
      <c r="J626" t="str">
        <f>VLOOKUP(D626,Product_Master!A:D,3,FALSE)</f>
        <v>Furniture</v>
      </c>
      <c r="K626">
        <f>VLOOKUP(D626,Product_Master!A:D,4,FALSE)</f>
        <v>300</v>
      </c>
      <c r="L626" t="str">
        <f>VLOOKUP(C626,Customer_Master!A:C,2,FALSE)</f>
        <v>Suresh</v>
      </c>
      <c r="M626" t="str">
        <f>VLOOKUP(C626,Customer_Master!A:C,3,FALSE)</f>
        <v>Consumer</v>
      </c>
      <c r="N626">
        <f>Table1[[#This Row],[Quantity]]*Table1[[#This Row],[Unit_Price]]</f>
        <v>6452</v>
      </c>
      <c r="O626">
        <f>(Table1[[#This Row],[Unit_Price]]-Table1[[#This Row],[Cost_Price]])*Table1[[#This Row],[Quantity]]</f>
        <v>5252</v>
      </c>
      <c r="P626">
        <f t="shared" si="9"/>
        <v>6452</v>
      </c>
      <c r="Q626" t="str">
        <f>TEXT(Table1[[#This Row],[Order_Date]],"mmm-yyyy")</f>
        <v>Jan-2024</v>
      </c>
    </row>
    <row r="627" spans="1:17" x14ac:dyDescent="0.35">
      <c r="A627" t="s">
        <v>960</v>
      </c>
      <c r="B627" t="s">
        <v>242</v>
      </c>
      <c r="C627" t="s">
        <v>21</v>
      </c>
      <c r="D627" t="s">
        <v>22</v>
      </c>
      <c r="E627" t="s">
        <v>27</v>
      </c>
      <c r="F627" t="s">
        <v>23</v>
      </c>
      <c r="G627">
        <v>7</v>
      </c>
      <c r="H627">
        <v>1170</v>
      </c>
      <c r="I627" t="str">
        <f>VLOOKUP(D627,Product_Master!A:D,2,FALSE)</f>
        <v>Desk</v>
      </c>
      <c r="J627" t="str">
        <f>VLOOKUP(D627,Product_Master!A:D,3,FALSE)</f>
        <v>Furniture</v>
      </c>
      <c r="K627">
        <f>VLOOKUP(D627,Product_Master!A:D,4,FALSE)</f>
        <v>300</v>
      </c>
      <c r="L627" t="str">
        <f>VLOOKUP(C627,Customer_Master!A:C,2,FALSE)</f>
        <v>Reliance</v>
      </c>
      <c r="M627" t="str">
        <f>VLOOKUP(C627,Customer_Master!A:C,3,FALSE)</f>
        <v>Corporate</v>
      </c>
      <c r="N627">
        <f>Table1[[#This Row],[Quantity]]*Table1[[#This Row],[Unit_Price]]</f>
        <v>8190</v>
      </c>
      <c r="O627">
        <f>(Table1[[#This Row],[Unit_Price]]-Table1[[#This Row],[Cost_Price]])*Table1[[#This Row],[Quantity]]</f>
        <v>6090</v>
      </c>
      <c r="P627">
        <f t="shared" si="9"/>
        <v>8190</v>
      </c>
      <c r="Q627" t="str">
        <f>TEXT(Table1[[#This Row],[Order_Date]],"mmm-yyyy")</f>
        <v>May-2024</v>
      </c>
    </row>
    <row r="628" spans="1:17" x14ac:dyDescent="0.35">
      <c r="A628" t="s">
        <v>961</v>
      </c>
      <c r="B628" t="s">
        <v>468</v>
      </c>
      <c r="C628" t="s">
        <v>45</v>
      </c>
      <c r="D628" t="s">
        <v>37</v>
      </c>
      <c r="E628" t="s">
        <v>12</v>
      </c>
      <c r="F628" t="s">
        <v>18</v>
      </c>
      <c r="G628">
        <v>9</v>
      </c>
      <c r="H628">
        <v>1781</v>
      </c>
      <c r="I628" t="str">
        <f>VLOOKUP(D628,Product_Master!A:D,2,FALSE)</f>
        <v>Mobile</v>
      </c>
      <c r="J628" t="str">
        <f>VLOOKUP(D628,Product_Master!A:D,3,FALSE)</f>
        <v>Electronics</v>
      </c>
      <c r="K628">
        <f>VLOOKUP(D628,Product_Master!A:D,4,FALSE)</f>
        <v>600</v>
      </c>
      <c r="L628" t="str">
        <f>VLOOKUP(C628,Customer_Master!A:C,2,FALSE)</f>
        <v>TCS</v>
      </c>
      <c r="M628" t="str">
        <f>VLOOKUP(C628,Customer_Master!A:C,3,FALSE)</f>
        <v>Corporate</v>
      </c>
      <c r="N628">
        <f>Table1[[#This Row],[Quantity]]*Table1[[#This Row],[Unit_Price]]</f>
        <v>16029</v>
      </c>
      <c r="O628">
        <f>(Table1[[#This Row],[Unit_Price]]-Table1[[#This Row],[Cost_Price]])*Table1[[#This Row],[Quantity]]</f>
        <v>10629</v>
      </c>
      <c r="P628">
        <f t="shared" si="9"/>
        <v>16029</v>
      </c>
      <c r="Q628" t="str">
        <f>TEXT(Table1[[#This Row],[Order_Date]],"mmm-yyyy")</f>
        <v>Mar-2024</v>
      </c>
    </row>
    <row r="629" spans="1:17" x14ac:dyDescent="0.35">
      <c r="A629" t="s">
        <v>962</v>
      </c>
      <c r="B629" t="s">
        <v>963</v>
      </c>
      <c r="C629" t="s">
        <v>45</v>
      </c>
      <c r="D629" t="s">
        <v>26</v>
      </c>
      <c r="E629" t="s">
        <v>27</v>
      </c>
      <c r="F629" t="s">
        <v>23</v>
      </c>
      <c r="G629">
        <v>8</v>
      </c>
      <c r="H629">
        <v>1243</v>
      </c>
      <c r="I629" t="str">
        <f>VLOOKUP(D629,Product_Master!A:D,2,FALSE)</f>
        <v>Laptop</v>
      </c>
      <c r="J629" t="str">
        <f>VLOOKUP(D629,Product_Master!A:D,3,FALSE)</f>
        <v>Electronics</v>
      </c>
      <c r="K629">
        <f>VLOOKUP(D629,Product_Master!A:D,4,FALSE)</f>
        <v>900</v>
      </c>
      <c r="L629" t="str">
        <f>VLOOKUP(C629,Customer_Master!A:C,2,FALSE)</f>
        <v>TCS</v>
      </c>
      <c r="M629" t="str">
        <f>VLOOKUP(C629,Customer_Master!A:C,3,FALSE)</f>
        <v>Corporate</v>
      </c>
      <c r="N629">
        <f>Table1[[#This Row],[Quantity]]*Table1[[#This Row],[Unit_Price]]</f>
        <v>9944</v>
      </c>
      <c r="O629">
        <f>(Table1[[#This Row],[Unit_Price]]-Table1[[#This Row],[Cost_Price]])*Table1[[#This Row],[Quantity]]</f>
        <v>2744</v>
      </c>
      <c r="P629">
        <f t="shared" si="9"/>
        <v>9944</v>
      </c>
      <c r="Q629" t="str">
        <f>TEXT(Table1[[#This Row],[Order_Date]],"mmm-yyyy")</f>
        <v>Jul-2024</v>
      </c>
    </row>
    <row r="630" spans="1:17" x14ac:dyDescent="0.35">
      <c r="A630" t="s">
        <v>964</v>
      </c>
      <c r="B630" t="s">
        <v>183</v>
      </c>
      <c r="C630" t="s">
        <v>21</v>
      </c>
      <c r="D630" t="s">
        <v>16</v>
      </c>
      <c r="E630" t="s">
        <v>27</v>
      </c>
      <c r="F630" t="s">
        <v>23</v>
      </c>
      <c r="G630">
        <v>3</v>
      </c>
      <c r="H630">
        <v>1382</v>
      </c>
      <c r="I630" t="str">
        <f>VLOOKUP(D630,Product_Master!A:D,2,FALSE)</f>
        <v>Printer</v>
      </c>
      <c r="J630" t="str">
        <f>VLOOKUP(D630,Product_Master!A:D,3,FALSE)</f>
        <v>Electronics</v>
      </c>
      <c r="K630">
        <f>VLOOKUP(D630,Product_Master!A:D,4,FALSE)</f>
        <v>1100</v>
      </c>
      <c r="L630" t="str">
        <f>VLOOKUP(C630,Customer_Master!A:C,2,FALSE)</f>
        <v>Reliance</v>
      </c>
      <c r="M630" t="str">
        <f>VLOOKUP(C630,Customer_Master!A:C,3,FALSE)</f>
        <v>Corporate</v>
      </c>
      <c r="N630">
        <f>Table1[[#This Row],[Quantity]]*Table1[[#This Row],[Unit_Price]]</f>
        <v>4146</v>
      </c>
      <c r="O630">
        <f>(Table1[[#This Row],[Unit_Price]]-Table1[[#This Row],[Cost_Price]])*Table1[[#This Row],[Quantity]]</f>
        <v>846</v>
      </c>
      <c r="P630">
        <f t="shared" si="9"/>
        <v>4146</v>
      </c>
      <c r="Q630" t="str">
        <f>TEXT(Table1[[#This Row],[Order_Date]],"mmm-yyyy")</f>
        <v>Aug-2024</v>
      </c>
    </row>
    <row r="631" spans="1:17" x14ac:dyDescent="0.35">
      <c r="A631" t="s">
        <v>965</v>
      </c>
      <c r="B631" t="s">
        <v>126</v>
      </c>
      <c r="C631" t="s">
        <v>10</v>
      </c>
      <c r="D631" t="s">
        <v>11</v>
      </c>
      <c r="E631" t="s">
        <v>27</v>
      </c>
      <c r="F631" t="s">
        <v>23</v>
      </c>
      <c r="G631">
        <v>6</v>
      </c>
      <c r="H631">
        <v>956</v>
      </c>
      <c r="I631" t="str">
        <f>VLOOKUP(D631,Product_Master!A:D,2,FALSE)</f>
        <v>Chair</v>
      </c>
      <c r="J631" t="str">
        <f>VLOOKUP(D631,Product_Master!A:D,3,FALSE)</f>
        <v>Furniture</v>
      </c>
      <c r="K631">
        <f>VLOOKUP(D631,Product_Master!A:D,4,FALSE)</f>
        <v>150</v>
      </c>
      <c r="L631" t="str">
        <f>VLOOKUP(C631,Customer_Master!A:C,2,FALSE)</f>
        <v>Suresh</v>
      </c>
      <c r="M631" t="str">
        <f>VLOOKUP(C631,Customer_Master!A:C,3,FALSE)</f>
        <v>Consumer</v>
      </c>
      <c r="N631">
        <f>Table1[[#This Row],[Quantity]]*Table1[[#This Row],[Unit_Price]]</f>
        <v>5736</v>
      </c>
      <c r="O631">
        <f>(Table1[[#This Row],[Unit_Price]]-Table1[[#This Row],[Cost_Price]])*Table1[[#This Row],[Quantity]]</f>
        <v>4836</v>
      </c>
      <c r="P631">
        <f t="shared" si="9"/>
        <v>5736</v>
      </c>
      <c r="Q631" t="str">
        <f>TEXT(Table1[[#This Row],[Order_Date]],"mmm-yyyy")</f>
        <v>Nov-2024</v>
      </c>
    </row>
    <row r="632" spans="1:17" x14ac:dyDescent="0.35">
      <c r="A632" t="s">
        <v>966</v>
      </c>
      <c r="B632" t="s">
        <v>290</v>
      </c>
      <c r="C632" t="s">
        <v>21</v>
      </c>
      <c r="D632" t="s">
        <v>11</v>
      </c>
      <c r="E632" t="s">
        <v>12</v>
      </c>
      <c r="F632" t="s">
        <v>18</v>
      </c>
      <c r="G632">
        <v>3</v>
      </c>
      <c r="H632">
        <v>1890</v>
      </c>
      <c r="I632" t="str">
        <f>VLOOKUP(D632,Product_Master!A:D,2,FALSE)</f>
        <v>Chair</v>
      </c>
      <c r="J632" t="str">
        <f>VLOOKUP(D632,Product_Master!A:D,3,FALSE)</f>
        <v>Furniture</v>
      </c>
      <c r="K632">
        <f>VLOOKUP(D632,Product_Master!A:D,4,FALSE)</f>
        <v>150</v>
      </c>
      <c r="L632" t="str">
        <f>VLOOKUP(C632,Customer_Master!A:C,2,FALSE)</f>
        <v>Reliance</v>
      </c>
      <c r="M632" t="str">
        <f>VLOOKUP(C632,Customer_Master!A:C,3,FALSE)</f>
        <v>Corporate</v>
      </c>
      <c r="N632">
        <f>Table1[[#This Row],[Quantity]]*Table1[[#This Row],[Unit_Price]]</f>
        <v>5670</v>
      </c>
      <c r="O632">
        <f>(Table1[[#This Row],[Unit_Price]]-Table1[[#This Row],[Cost_Price]])*Table1[[#This Row],[Quantity]]</f>
        <v>5220</v>
      </c>
      <c r="P632">
        <f t="shared" si="9"/>
        <v>5670</v>
      </c>
      <c r="Q632" t="str">
        <f>TEXT(Table1[[#This Row],[Order_Date]],"mmm-yyyy")</f>
        <v>May-2024</v>
      </c>
    </row>
    <row r="633" spans="1:17" x14ac:dyDescent="0.35">
      <c r="A633" t="s">
        <v>967</v>
      </c>
      <c r="B633" t="s">
        <v>628</v>
      </c>
      <c r="C633" t="s">
        <v>10</v>
      </c>
      <c r="D633" t="s">
        <v>37</v>
      </c>
      <c r="E633" t="s">
        <v>12</v>
      </c>
      <c r="F633" t="s">
        <v>13</v>
      </c>
      <c r="G633">
        <v>10</v>
      </c>
      <c r="H633">
        <v>1091</v>
      </c>
      <c r="I633" t="str">
        <f>VLOOKUP(D633,Product_Master!A:D,2,FALSE)</f>
        <v>Mobile</v>
      </c>
      <c r="J633" t="str">
        <f>VLOOKUP(D633,Product_Master!A:D,3,FALSE)</f>
        <v>Electronics</v>
      </c>
      <c r="K633">
        <f>VLOOKUP(D633,Product_Master!A:D,4,FALSE)</f>
        <v>600</v>
      </c>
      <c r="L633" t="str">
        <f>VLOOKUP(C633,Customer_Master!A:C,2,FALSE)</f>
        <v>Suresh</v>
      </c>
      <c r="M633" t="str">
        <f>VLOOKUP(C633,Customer_Master!A:C,3,FALSE)</f>
        <v>Consumer</v>
      </c>
      <c r="N633">
        <f>Table1[[#This Row],[Quantity]]*Table1[[#This Row],[Unit_Price]]</f>
        <v>10910</v>
      </c>
      <c r="O633">
        <f>(Table1[[#This Row],[Unit_Price]]-Table1[[#This Row],[Cost_Price]])*Table1[[#This Row],[Quantity]]</f>
        <v>4910</v>
      </c>
      <c r="P633">
        <f t="shared" si="9"/>
        <v>10910</v>
      </c>
      <c r="Q633" t="str">
        <f>TEXT(Table1[[#This Row],[Order_Date]],"mmm-yyyy")</f>
        <v>Aug-2024</v>
      </c>
    </row>
    <row r="634" spans="1:17" x14ac:dyDescent="0.35">
      <c r="A634" t="s">
        <v>968</v>
      </c>
      <c r="B634" t="s">
        <v>96</v>
      </c>
      <c r="C634" t="s">
        <v>42</v>
      </c>
      <c r="D634" t="s">
        <v>37</v>
      </c>
      <c r="E634" t="s">
        <v>17</v>
      </c>
      <c r="F634" t="s">
        <v>23</v>
      </c>
      <c r="G634">
        <v>3</v>
      </c>
      <c r="H634">
        <v>1731</v>
      </c>
      <c r="I634" t="str">
        <f>VLOOKUP(D634,Product_Master!A:D,2,FALSE)</f>
        <v>Mobile</v>
      </c>
      <c r="J634" t="str">
        <f>VLOOKUP(D634,Product_Master!A:D,3,FALSE)</f>
        <v>Electronics</v>
      </c>
      <c r="K634">
        <f>VLOOKUP(D634,Product_Master!A:D,4,FALSE)</f>
        <v>600</v>
      </c>
      <c r="L634" t="str">
        <f>VLOOKUP(C634,Customer_Master!A:C,2,FALSE)</f>
        <v>Ramesh</v>
      </c>
      <c r="M634" t="str">
        <f>VLOOKUP(C634,Customer_Master!A:C,3,FALSE)</f>
        <v>Consumer</v>
      </c>
      <c r="N634">
        <f>Table1[[#This Row],[Quantity]]*Table1[[#This Row],[Unit_Price]]</f>
        <v>5193</v>
      </c>
      <c r="O634">
        <f>(Table1[[#This Row],[Unit_Price]]-Table1[[#This Row],[Cost_Price]])*Table1[[#This Row],[Quantity]]</f>
        <v>3393</v>
      </c>
      <c r="P634">
        <f t="shared" si="9"/>
        <v>5193</v>
      </c>
      <c r="Q634" t="str">
        <f>TEXT(Table1[[#This Row],[Order_Date]],"mmm-yyyy")</f>
        <v>Jan-2024</v>
      </c>
    </row>
    <row r="635" spans="1:17" x14ac:dyDescent="0.35">
      <c r="A635" t="s">
        <v>969</v>
      </c>
      <c r="B635" t="s">
        <v>970</v>
      </c>
      <c r="C635" t="s">
        <v>10</v>
      </c>
      <c r="D635" t="s">
        <v>37</v>
      </c>
      <c r="E635" t="s">
        <v>12</v>
      </c>
      <c r="F635" t="s">
        <v>34</v>
      </c>
      <c r="G635">
        <v>5</v>
      </c>
      <c r="H635">
        <v>1515</v>
      </c>
      <c r="I635" t="str">
        <f>VLOOKUP(D635,Product_Master!A:D,2,FALSE)</f>
        <v>Mobile</v>
      </c>
      <c r="J635" t="str">
        <f>VLOOKUP(D635,Product_Master!A:D,3,FALSE)</f>
        <v>Electronics</v>
      </c>
      <c r="K635">
        <f>VLOOKUP(D635,Product_Master!A:D,4,FALSE)</f>
        <v>600</v>
      </c>
      <c r="L635" t="str">
        <f>VLOOKUP(C635,Customer_Master!A:C,2,FALSE)</f>
        <v>Suresh</v>
      </c>
      <c r="M635" t="str">
        <f>VLOOKUP(C635,Customer_Master!A:C,3,FALSE)</f>
        <v>Consumer</v>
      </c>
      <c r="N635">
        <f>Table1[[#This Row],[Quantity]]*Table1[[#This Row],[Unit_Price]]</f>
        <v>7575</v>
      </c>
      <c r="O635">
        <f>(Table1[[#This Row],[Unit_Price]]-Table1[[#This Row],[Cost_Price]])*Table1[[#This Row],[Quantity]]</f>
        <v>4575</v>
      </c>
      <c r="P635">
        <f t="shared" si="9"/>
        <v>7575</v>
      </c>
      <c r="Q635" t="str">
        <f>TEXT(Table1[[#This Row],[Order_Date]],"mmm-yyyy")</f>
        <v>Jul-2024</v>
      </c>
    </row>
    <row r="636" spans="1:17" x14ac:dyDescent="0.35">
      <c r="A636" t="s">
        <v>971</v>
      </c>
      <c r="B636" t="s">
        <v>972</v>
      </c>
      <c r="C636" t="s">
        <v>10</v>
      </c>
      <c r="D636" t="s">
        <v>37</v>
      </c>
      <c r="E636" t="s">
        <v>33</v>
      </c>
      <c r="F636" t="s">
        <v>23</v>
      </c>
      <c r="G636">
        <v>4</v>
      </c>
      <c r="H636">
        <v>1104</v>
      </c>
      <c r="I636" t="str">
        <f>VLOOKUP(D636,Product_Master!A:D,2,FALSE)</f>
        <v>Mobile</v>
      </c>
      <c r="J636" t="str">
        <f>VLOOKUP(D636,Product_Master!A:D,3,FALSE)</f>
        <v>Electronics</v>
      </c>
      <c r="K636">
        <f>VLOOKUP(D636,Product_Master!A:D,4,FALSE)</f>
        <v>600</v>
      </c>
      <c r="L636" t="str">
        <f>VLOOKUP(C636,Customer_Master!A:C,2,FALSE)</f>
        <v>Suresh</v>
      </c>
      <c r="M636" t="str">
        <f>VLOOKUP(C636,Customer_Master!A:C,3,FALSE)</f>
        <v>Consumer</v>
      </c>
      <c r="N636">
        <f>Table1[[#This Row],[Quantity]]*Table1[[#This Row],[Unit_Price]]</f>
        <v>4416</v>
      </c>
      <c r="O636">
        <f>(Table1[[#This Row],[Unit_Price]]-Table1[[#This Row],[Cost_Price]])*Table1[[#This Row],[Quantity]]</f>
        <v>2016</v>
      </c>
      <c r="P636">
        <f t="shared" si="9"/>
        <v>4416</v>
      </c>
      <c r="Q636" t="str">
        <f>TEXT(Table1[[#This Row],[Order_Date]],"mmm-yyyy")</f>
        <v>Jun-2024</v>
      </c>
    </row>
    <row r="637" spans="1:17" x14ac:dyDescent="0.35">
      <c r="A637" t="s">
        <v>973</v>
      </c>
      <c r="B637" t="s">
        <v>974</v>
      </c>
      <c r="C637" t="s">
        <v>30</v>
      </c>
      <c r="D637" t="s">
        <v>26</v>
      </c>
      <c r="E637" t="s">
        <v>17</v>
      </c>
      <c r="F637" t="s">
        <v>18</v>
      </c>
      <c r="G637">
        <v>4</v>
      </c>
      <c r="H637">
        <v>1228</v>
      </c>
      <c r="I637" t="str">
        <f>VLOOKUP(D637,Product_Master!A:D,2,FALSE)</f>
        <v>Laptop</v>
      </c>
      <c r="J637" t="str">
        <f>VLOOKUP(D637,Product_Master!A:D,3,FALSE)</f>
        <v>Electronics</v>
      </c>
      <c r="K637">
        <f>VLOOKUP(D637,Product_Master!A:D,4,FALSE)</f>
        <v>900</v>
      </c>
      <c r="L637" t="str">
        <f>VLOOKUP(C637,Customer_Master!A:C,2,FALSE)</f>
        <v>Infosys</v>
      </c>
      <c r="M637" t="str">
        <f>VLOOKUP(C637,Customer_Master!A:C,3,FALSE)</f>
        <v>Corporate</v>
      </c>
      <c r="N637">
        <f>Table1[[#This Row],[Quantity]]*Table1[[#This Row],[Unit_Price]]</f>
        <v>4912</v>
      </c>
      <c r="O637">
        <f>(Table1[[#This Row],[Unit_Price]]-Table1[[#This Row],[Cost_Price]])*Table1[[#This Row],[Quantity]]</f>
        <v>1312</v>
      </c>
      <c r="P637">
        <f t="shared" si="9"/>
        <v>4912</v>
      </c>
      <c r="Q637" t="str">
        <f>TEXT(Table1[[#This Row],[Order_Date]],"mmm-yyyy")</f>
        <v>Mar-2024</v>
      </c>
    </row>
    <row r="638" spans="1:17" x14ac:dyDescent="0.35">
      <c r="A638" t="s">
        <v>975</v>
      </c>
      <c r="B638" t="s">
        <v>976</v>
      </c>
      <c r="C638" t="s">
        <v>42</v>
      </c>
      <c r="D638" t="s">
        <v>16</v>
      </c>
      <c r="E638" t="s">
        <v>27</v>
      </c>
      <c r="F638" t="s">
        <v>34</v>
      </c>
      <c r="G638">
        <v>3</v>
      </c>
      <c r="H638">
        <v>1009</v>
      </c>
      <c r="I638" t="str">
        <f>VLOOKUP(D638,Product_Master!A:D,2,FALSE)</f>
        <v>Printer</v>
      </c>
      <c r="J638" t="str">
        <f>VLOOKUP(D638,Product_Master!A:D,3,FALSE)</f>
        <v>Electronics</v>
      </c>
      <c r="K638">
        <f>VLOOKUP(D638,Product_Master!A:D,4,FALSE)</f>
        <v>1100</v>
      </c>
      <c r="L638" t="str">
        <f>VLOOKUP(C638,Customer_Master!A:C,2,FALSE)</f>
        <v>Ramesh</v>
      </c>
      <c r="M638" t="str">
        <f>VLOOKUP(C638,Customer_Master!A:C,3,FALSE)</f>
        <v>Consumer</v>
      </c>
      <c r="N638">
        <f>Table1[[#This Row],[Quantity]]*Table1[[#This Row],[Unit_Price]]</f>
        <v>3027</v>
      </c>
      <c r="O638">
        <f>(Table1[[#This Row],[Unit_Price]]-Table1[[#This Row],[Cost_Price]])*Table1[[#This Row],[Quantity]]</f>
        <v>-273</v>
      </c>
      <c r="P638">
        <f t="shared" si="9"/>
        <v>3027</v>
      </c>
      <c r="Q638" t="str">
        <f>TEXT(Table1[[#This Row],[Order_Date]],"mmm-yyyy")</f>
        <v>Dec-2024</v>
      </c>
    </row>
    <row r="639" spans="1:17" x14ac:dyDescent="0.35">
      <c r="A639" t="s">
        <v>977</v>
      </c>
      <c r="B639" t="s">
        <v>978</v>
      </c>
      <c r="C639" t="s">
        <v>42</v>
      </c>
      <c r="D639" t="s">
        <v>26</v>
      </c>
      <c r="E639" t="s">
        <v>27</v>
      </c>
      <c r="F639" t="s">
        <v>34</v>
      </c>
      <c r="G639">
        <v>9</v>
      </c>
      <c r="H639">
        <v>1514</v>
      </c>
      <c r="I639" t="str">
        <f>VLOOKUP(D639,Product_Master!A:D,2,FALSE)</f>
        <v>Laptop</v>
      </c>
      <c r="J639" t="str">
        <f>VLOOKUP(D639,Product_Master!A:D,3,FALSE)</f>
        <v>Electronics</v>
      </c>
      <c r="K639">
        <f>VLOOKUP(D639,Product_Master!A:D,4,FALSE)</f>
        <v>900</v>
      </c>
      <c r="L639" t="str">
        <f>VLOOKUP(C639,Customer_Master!A:C,2,FALSE)</f>
        <v>Ramesh</v>
      </c>
      <c r="M639" t="str">
        <f>VLOOKUP(C639,Customer_Master!A:C,3,FALSE)</f>
        <v>Consumer</v>
      </c>
      <c r="N639">
        <f>Table1[[#This Row],[Quantity]]*Table1[[#This Row],[Unit_Price]]</f>
        <v>13626</v>
      </c>
      <c r="O639">
        <f>(Table1[[#This Row],[Unit_Price]]-Table1[[#This Row],[Cost_Price]])*Table1[[#This Row],[Quantity]]</f>
        <v>5526</v>
      </c>
      <c r="P639">
        <f t="shared" si="9"/>
        <v>13626</v>
      </c>
      <c r="Q639" t="str">
        <f>TEXT(Table1[[#This Row],[Order_Date]],"mmm-yyyy")</f>
        <v>Oct-2024</v>
      </c>
    </row>
    <row r="640" spans="1:17" x14ac:dyDescent="0.35">
      <c r="A640" t="s">
        <v>979</v>
      </c>
      <c r="B640" t="s">
        <v>290</v>
      </c>
      <c r="C640" t="s">
        <v>10</v>
      </c>
      <c r="D640" t="s">
        <v>16</v>
      </c>
      <c r="E640" t="s">
        <v>33</v>
      </c>
      <c r="F640" t="s">
        <v>13</v>
      </c>
      <c r="G640">
        <v>4</v>
      </c>
      <c r="H640">
        <v>1481</v>
      </c>
      <c r="I640" t="str">
        <f>VLOOKUP(D640,Product_Master!A:D,2,FALSE)</f>
        <v>Printer</v>
      </c>
      <c r="J640" t="str">
        <f>VLOOKUP(D640,Product_Master!A:D,3,FALSE)</f>
        <v>Electronics</v>
      </c>
      <c r="K640">
        <f>VLOOKUP(D640,Product_Master!A:D,4,FALSE)</f>
        <v>1100</v>
      </c>
      <c r="L640" t="str">
        <f>VLOOKUP(C640,Customer_Master!A:C,2,FALSE)</f>
        <v>Suresh</v>
      </c>
      <c r="M640" t="str">
        <f>VLOOKUP(C640,Customer_Master!A:C,3,FALSE)</f>
        <v>Consumer</v>
      </c>
      <c r="N640">
        <f>Table1[[#This Row],[Quantity]]*Table1[[#This Row],[Unit_Price]]</f>
        <v>5924</v>
      </c>
      <c r="O640">
        <f>(Table1[[#This Row],[Unit_Price]]-Table1[[#This Row],[Cost_Price]])*Table1[[#This Row],[Quantity]]</f>
        <v>1524</v>
      </c>
      <c r="P640">
        <f t="shared" si="9"/>
        <v>5924</v>
      </c>
      <c r="Q640" t="str">
        <f>TEXT(Table1[[#This Row],[Order_Date]],"mmm-yyyy")</f>
        <v>May-2024</v>
      </c>
    </row>
    <row r="641" spans="1:17" x14ac:dyDescent="0.35">
      <c r="A641" t="s">
        <v>980</v>
      </c>
      <c r="B641" t="s">
        <v>567</v>
      </c>
      <c r="C641" t="s">
        <v>30</v>
      </c>
      <c r="D641" t="s">
        <v>26</v>
      </c>
      <c r="E641" t="s">
        <v>27</v>
      </c>
      <c r="F641" t="s">
        <v>34</v>
      </c>
      <c r="G641">
        <v>4</v>
      </c>
      <c r="H641">
        <v>1796</v>
      </c>
      <c r="I641" t="str">
        <f>VLOOKUP(D641,Product_Master!A:D,2,FALSE)</f>
        <v>Laptop</v>
      </c>
      <c r="J641" t="str">
        <f>VLOOKUP(D641,Product_Master!A:D,3,FALSE)</f>
        <v>Electronics</v>
      </c>
      <c r="K641">
        <f>VLOOKUP(D641,Product_Master!A:D,4,FALSE)</f>
        <v>900</v>
      </c>
      <c r="L641" t="str">
        <f>VLOOKUP(C641,Customer_Master!A:C,2,FALSE)</f>
        <v>Infosys</v>
      </c>
      <c r="M641" t="str">
        <f>VLOOKUP(C641,Customer_Master!A:C,3,FALSE)</f>
        <v>Corporate</v>
      </c>
      <c r="N641">
        <f>Table1[[#This Row],[Quantity]]*Table1[[#This Row],[Unit_Price]]</f>
        <v>7184</v>
      </c>
      <c r="O641">
        <f>(Table1[[#This Row],[Unit_Price]]-Table1[[#This Row],[Cost_Price]])*Table1[[#This Row],[Quantity]]</f>
        <v>3584</v>
      </c>
      <c r="P641">
        <f t="shared" si="9"/>
        <v>7184</v>
      </c>
      <c r="Q641" t="str">
        <f>TEXT(Table1[[#This Row],[Order_Date]],"mmm-yyyy")</f>
        <v>Apr-2024</v>
      </c>
    </row>
    <row r="642" spans="1:17" x14ac:dyDescent="0.35">
      <c r="A642" t="s">
        <v>981</v>
      </c>
      <c r="B642" t="s">
        <v>982</v>
      </c>
      <c r="C642" t="s">
        <v>21</v>
      </c>
      <c r="D642" t="s">
        <v>16</v>
      </c>
      <c r="E642" t="s">
        <v>12</v>
      </c>
      <c r="F642" t="s">
        <v>34</v>
      </c>
      <c r="G642">
        <v>2</v>
      </c>
      <c r="H642">
        <v>1794</v>
      </c>
      <c r="I642" t="str">
        <f>VLOOKUP(D642,Product_Master!A:D,2,FALSE)</f>
        <v>Printer</v>
      </c>
      <c r="J642" t="str">
        <f>VLOOKUP(D642,Product_Master!A:D,3,FALSE)</f>
        <v>Electronics</v>
      </c>
      <c r="K642">
        <f>VLOOKUP(D642,Product_Master!A:D,4,FALSE)</f>
        <v>1100</v>
      </c>
      <c r="L642" t="str">
        <f>VLOOKUP(C642,Customer_Master!A:C,2,FALSE)</f>
        <v>Reliance</v>
      </c>
      <c r="M642" t="str">
        <f>VLOOKUP(C642,Customer_Master!A:C,3,FALSE)</f>
        <v>Corporate</v>
      </c>
      <c r="N642">
        <f>Table1[[#This Row],[Quantity]]*Table1[[#This Row],[Unit_Price]]</f>
        <v>3588</v>
      </c>
      <c r="O642">
        <f>(Table1[[#This Row],[Unit_Price]]-Table1[[#This Row],[Cost_Price]])*Table1[[#This Row],[Quantity]]</f>
        <v>1388</v>
      </c>
      <c r="P642">
        <f t="shared" ref="P642:P705" si="10">VALUE(N642)</f>
        <v>3588</v>
      </c>
      <c r="Q642" t="str">
        <f>TEXT(Table1[[#This Row],[Order_Date]],"mmm-yyyy")</f>
        <v>Nov-2024</v>
      </c>
    </row>
    <row r="643" spans="1:17" x14ac:dyDescent="0.35">
      <c r="A643" t="s">
        <v>983</v>
      </c>
      <c r="B643" t="s">
        <v>857</v>
      </c>
      <c r="C643" t="s">
        <v>10</v>
      </c>
      <c r="D643" t="s">
        <v>11</v>
      </c>
      <c r="E643" t="s">
        <v>17</v>
      </c>
      <c r="F643" t="s">
        <v>18</v>
      </c>
      <c r="G643">
        <v>4</v>
      </c>
      <c r="H643">
        <v>1282</v>
      </c>
      <c r="I643" t="str">
        <f>VLOOKUP(D643,Product_Master!A:D,2,FALSE)</f>
        <v>Chair</v>
      </c>
      <c r="J643" t="str">
        <f>VLOOKUP(D643,Product_Master!A:D,3,FALSE)</f>
        <v>Furniture</v>
      </c>
      <c r="K643">
        <f>VLOOKUP(D643,Product_Master!A:D,4,FALSE)</f>
        <v>150</v>
      </c>
      <c r="L643" t="str">
        <f>VLOOKUP(C643,Customer_Master!A:C,2,FALSE)</f>
        <v>Suresh</v>
      </c>
      <c r="M643" t="str">
        <f>VLOOKUP(C643,Customer_Master!A:C,3,FALSE)</f>
        <v>Consumer</v>
      </c>
      <c r="N643">
        <f>Table1[[#This Row],[Quantity]]*Table1[[#This Row],[Unit_Price]]</f>
        <v>5128</v>
      </c>
      <c r="O643">
        <f>(Table1[[#This Row],[Unit_Price]]-Table1[[#This Row],[Cost_Price]])*Table1[[#This Row],[Quantity]]</f>
        <v>4528</v>
      </c>
      <c r="P643">
        <f t="shared" si="10"/>
        <v>5128</v>
      </c>
      <c r="Q643" t="str">
        <f>TEXT(Table1[[#This Row],[Order_Date]],"mmm-yyyy")</f>
        <v>Aug-2024</v>
      </c>
    </row>
    <row r="644" spans="1:17" x14ac:dyDescent="0.35">
      <c r="A644" t="s">
        <v>984</v>
      </c>
      <c r="B644" t="s">
        <v>70</v>
      </c>
      <c r="C644" t="s">
        <v>45</v>
      </c>
      <c r="D644" t="s">
        <v>26</v>
      </c>
      <c r="E644" t="s">
        <v>12</v>
      </c>
      <c r="F644" t="s">
        <v>13</v>
      </c>
      <c r="G644">
        <v>5</v>
      </c>
      <c r="H644">
        <v>1202</v>
      </c>
      <c r="I644" t="str">
        <f>VLOOKUP(D644,Product_Master!A:D,2,FALSE)</f>
        <v>Laptop</v>
      </c>
      <c r="J644" t="str">
        <f>VLOOKUP(D644,Product_Master!A:D,3,FALSE)</f>
        <v>Electronics</v>
      </c>
      <c r="K644">
        <f>VLOOKUP(D644,Product_Master!A:D,4,FALSE)</f>
        <v>900</v>
      </c>
      <c r="L644" t="str">
        <f>VLOOKUP(C644,Customer_Master!A:C,2,FALSE)</f>
        <v>TCS</v>
      </c>
      <c r="M644" t="str">
        <f>VLOOKUP(C644,Customer_Master!A:C,3,FALSE)</f>
        <v>Corporate</v>
      </c>
      <c r="N644">
        <f>Table1[[#This Row],[Quantity]]*Table1[[#This Row],[Unit_Price]]</f>
        <v>6010</v>
      </c>
      <c r="O644">
        <f>(Table1[[#This Row],[Unit_Price]]-Table1[[#This Row],[Cost_Price]])*Table1[[#This Row],[Quantity]]</f>
        <v>1510</v>
      </c>
      <c r="P644">
        <f t="shared" si="10"/>
        <v>6010</v>
      </c>
      <c r="Q644" t="str">
        <f>TEXT(Table1[[#This Row],[Order_Date]],"mmm-yyyy")</f>
        <v>Mar-2024</v>
      </c>
    </row>
    <row r="645" spans="1:17" x14ac:dyDescent="0.35">
      <c r="A645" t="s">
        <v>985</v>
      </c>
      <c r="B645" t="s">
        <v>305</v>
      </c>
      <c r="C645" t="s">
        <v>42</v>
      </c>
      <c r="D645" t="s">
        <v>16</v>
      </c>
      <c r="E645" t="s">
        <v>27</v>
      </c>
      <c r="F645" t="s">
        <v>23</v>
      </c>
      <c r="G645">
        <v>4</v>
      </c>
      <c r="H645">
        <v>836</v>
      </c>
      <c r="I645" t="str">
        <f>VLOOKUP(D645,Product_Master!A:D,2,FALSE)</f>
        <v>Printer</v>
      </c>
      <c r="J645" t="str">
        <f>VLOOKUP(D645,Product_Master!A:D,3,FALSE)</f>
        <v>Electronics</v>
      </c>
      <c r="K645">
        <f>VLOOKUP(D645,Product_Master!A:D,4,FALSE)</f>
        <v>1100</v>
      </c>
      <c r="L645" t="str">
        <f>VLOOKUP(C645,Customer_Master!A:C,2,FALSE)</f>
        <v>Ramesh</v>
      </c>
      <c r="M645" t="str">
        <f>VLOOKUP(C645,Customer_Master!A:C,3,FALSE)</f>
        <v>Consumer</v>
      </c>
      <c r="N645">
        <f>Table1[[#This Row],[Quantity]]*Table1[[#This Row],[Unit_Price]]</f>
        <v>3344</v>
      </c>
      <c r="O645">
        <f>(Table1[[#This Row],[Unit_Price]]-Table1[[#This Row],[Cost_Price]])*Table1[[#This Row],[Quantity]]</f>
        <v>-1056</v>
      </c>
      <c r="P645">
        <f t="shared" si="10"/>
        <v>3344</v>
      </c>
      <c r="Q645" t="str">
        <f>TEXT(Table1[[#This Row],[Order_Date]],"mmm-yyyy")</f>
        <v>Nov-2024</v>
      </c>
    </row>
    <row r="646" spans="1:17" x14ac:dyDescent="0.35">
      <c r="A646" t="s">
        <v>986</v>
      </c>
      <c r="B646" t="s">
        <v>783</v>
      </c>
      <c r="C646" t="s">
        <v>21</v>
      </c>
      <c r="D646" t="s">
        <v>22</v>
      </c>
      <c r="E646" t="s">
        <v>17</v>
      </c>
      <c r="F646" t="s">
        <v>34</v>
      </c>
      <c r="G646">
        <v>2</v>
      </c>
      <c r="H646">
        <v>1644</v>
      </c>
      <c r="I646" t="str">
        <f>VLOOKUP(D646,Product_Master!A:D,2,FALSE)</f>
        <v>Desk</v>
      </c>
      <c r="J646" t="str">
        <f>VLOOKUP(D646,Product_Master!A:D,3,FALSE)</f>
        <v>Furniture</v>
      </c>
      <c r="K646">
        <f>VLOOKUP(D646,Product_Master!A:D,4,FALSE)</f>
        <v>300</v>
      </c>
      <c r="L646" t="str">
        <f>VLOOKUP(C646,Customer_Master!A:C,2,FALSE)</f>
        <v>Reliance</v>
      </c>
      <c r="M646" t="str">
        <f>VLOOKUP(C646,Customer_Master!A:C,3,FALSE)</f>
        <v>Corporate</v>
      </c>
      <c r="N646">
        <f>Table1[[#This Row],[Quantity]]*Table1[[#This Row],[Unit_Price]]</f>
        <v>3288</v>
      </c>
      <c r="O646">
        <f>(Table1[[#This Row],[Unit_Price]]-Table1[[#This Row],[Cost_Price]])*Table1[[#This Row],[Quantity]]</f>
        <v>2688</v>
      </c>
      <c r="P646">
        <f t="shared" si="10"/>
        <v>3288</v>
      </c>
      <c r="Q646" t="str">
        <f>TEXT(Table1[[#This Row],[Order_Date]],"mmm-yyyy")</f>
        <v>Jun-2024</v>
      </c>
    </row>
    <row r="647" spans="1:17" x14ac:dyDescent="0.35">
      <c r="A647" t="s">
        <v>987</v>
      </c>
      <c r="B647" t="s">
        <v>215</v>
      </c>
      <c r="C647" t="s">
        <v>10</v>
      </c>
      <c r="D647" t="s">
        <v>16</v>
      </c>
      <c r="E647" t="s">
        <v>17</v>
      </c>
      <c r="F647" t="s">
        <v>18</v>
      </c>
      <c r="G647">
        <v>9</v>
      </c>
      <c r="H647">
        <v>1745</v>
      </c>
      <c r="I647" t="str">
        <f>VLOOKUP(D647,Product_Master!A:D,2,FALSE)</f>
        <v>Printer</v>
      </c>
      <c r="J647" t="str">
        <f>VLOOKUP(D647,Product_Master!A:D,3,FALSE)</f>
        <v>Electronics</v>
      </c>
      <c r="K647">
        <f>VLOOKUP(D647,Product_Master!A:D,4,FALSE)</f>
        <v>1100</v>
      </c>
      <c r="L647" t="str">
        <f>VLOOKUP(C647,Customer_Master!A:C,2,FALSE)</f>
        <v>Suresh</v>
      </c>
      <c r="M647" t="str">
        <f>VLOOKUP(C647,Customer_Master!A:C,3,FALSE)</f>
        <v>Consumer</v>
      </c>
      <c r="N647">
        <f>Table1[[#This Row],[Quantity]]*Table1[[#This Row],[Unit_Price]]</f>
        <v>15705</v>
      </c>
      <c r="O647">
        <f>(Table1[[#This Row],[Unit_Price]]-Table1[[#This Row],[Cost_Price]])*Table1[[#This Row],[Quantity]]</f>
        <v>5805</v>
      </c>
      <c r="P647">
        <f t="shared" si="10"/>
        <v>15705</v>
      </c>
      <c r="Q647" t="str">
        <f>TEXT(Table1[[#This Row],[Order_Date]],"mmm-yyyy")</f>
        <v>Jun-2024</v>
      </c>
    </row>
    <row r="648" spans="1:17" x14ac:dyDescent="0.35">
      <c r="A648" t="s">
        <v>988</v>
      </c>
      <c r="B648" t="s">
        <v>167</v>
      </c>
      <c r="C648" t="s">
        <v>30</v>
      </c>
      <c r="D648" t="s">
        <v>16</v>
      </c>
      <c r="E648" t="s">
        <v>17</v>
      </c>
      <c r="F648" t="s">
        <v>13</v>
      </c>
      <c r="G648">
        <v>10</v>
      </c>
      <c r="H648">
        <v>819</v>
      </c>
      <c r="I648" t="str">
        <f>VLOOKUP(D648,Product_Master!A:D,2,FALSE)</f>
        <v>Printer</v>
      </c>
      <c r="J648" t="str">
        <f>VLOOKUP(D648,Product_Master!A:D,3,FALSE)</f>
        <v>Electronics</v>
      </c>
      <c r="K648">
        <f>VLOOKUP(D648,Product_Master!A:D,4,FALSE)</f>
        <v>1100</v>
      </c>
      <c r="L648" t="str">
        <f>VLOOKUP(C648,Customer_Master!A:C,2,FALSE)</f>
        <v>Infosys</v>
      </c>
      <c r="M648" t="str">
        <f>VLOOKUP(C648,Customer_Master!A:C,3,FALSE)</f>
        <v>Corporate</v>
      </c>
      <c r="N648">
        <f>Table1[[#This Row],[Quantity]]*Table1[[#This Row],[Unit_Price]]</f>
        <v>8190</v>
      </c>
      <c r="O648">
        <f>(Table1[[#This Row],[Unit_Price]]-Table1[[#This Row],[Cost_Price]])*Table1[[#This Row],[Quantity]]</f>
        <v>-2810</v>
      </c>
      <c r="P648">
        <f t="shared" si="10"/>
        <v>8190</v>
      </c>
      <c r="Q648" t="str">
        <f>TEXT(Table1[[#This Row],[Order_Date]],"mmm-yyyy")</f>
        <v>Sep-2024</v>
      </c>
    </row>
    <row r="649" spans="1:17" x14ac:dyDescent="0.35">
      <c r="A649" t="s">
        <v>989</v>
      </c>
      <c r="B649" t="s">
        <v>102</v>
      </c>
      <c r="C649" t="s">
        <v>42</v>
      </c>
      <c r="D649" t="s">
        <v>11</v>
      </c>
      <c r="E649" t="s">
        <v>17</v>
      </c>
      <c r="F649" t="s">
        <v>23</v>
      </c>
      <c r="G649">
        <v>10</v>
      </c>
      <c r="H649">
        <v>1439</v>
      </c>
      <c r="I649" t="str">
        <f>VLOOKUP(D649,Product_Master!A:D,2,FALSE)</f>
        <v>Chair</v>
      </c>
      <c r="J649" t="str">
        <f>VLOOKUP(D649,Product_Master!A:D,3,FALSE)</f>
        <v>Furniture</v>
      </c>
      <c r="K649">
        <f>VLOOKUP(D649,Product_Master!A:D,4,FALSE)</f>
        <v>150</v>
      </c>
      <c r="L649" t="str">
        <f>VLOOKUP(C649,Customer_Master!A:C,2,FALSE)</f>
        <v>Ramesh</v>
      </c>
      <c r="M649" t="str">
        <f>VLOOKUP(C649,Customer_Master!A:C,3,FALSE)</f>
        <v>Consumer</v>
      </c>
      <c r="N649">
        <f>Table1[[#This Row],[Quantity]]*Table1[[#This Row],[Unit_Price]]</f>
        <v>14390</v>
      </c>
      <c r="O649">
        <f>(Table1[[#This Row],[Unit_Price]]-Table1[[#This Row],[Cost_Price]])*Table1[[#This Row],[Quantity]]</f>
        <v>12890</v>
      </c>
      <c r="P649">
        <f t="shared" si="10"/>
        <v>14390</v>
      </c>
      <c r="Q649" t="str">
        <f>TEXT(Table1[[#This Row],[Order_Date]],"mmm-yyyy")</f>
        <v>May-2024</v>
      </c>
    </row>
    <row r="650" spans="1:17" x14ac:dyDescent="0.35">
      <c r="A650" t="s">
        <v>990</v>
      </c>
      <c r="B650" t="s">
        <v>514</v>
      </c>
      <c r="C650" t="s">
        <v>21</v>
      </c>
      <c r="D650" t="s">
        <v>26</v>
      </c>
      <c r="E650" t="s">
        <v>33</v>
      </c>
      <c r="F650" t="s">
        <v>13</v>
      </c>
      <c r="G650">
        <v>9</v>
      </c>
      <c r="H650">
        <v>894</v>
      </c>
      <c r="I650" t="str">
        <f>VLOOKUP(D650,Product_Master!A:D,2,FALSE)</f>
        <v>Laptop</v>
      </c>
      <c r="J650" t="str">
        <f>VLOOKUP(D650,Product_Master!A:D,3,FALSE)</f>
        <v>Electronics</v>
      </c>
      <c r="K650">
        <f>VLOOKUP(D650,Product_Master!A:D,4,FALSE)</f>
        <v>900</v>
      </c>
      <c r="L650" t="str">
        <f>VLOOKUP(C650,Customer_Master!A:C,2,FALSE)</f>
        <v>Reliance</v>
      </c>
      <c r="M650" t="str">
        <f>VLOOKUP(C650,Customer_Master!A:C,3,FALSE)</f>
        <v>Corporate</v>
      </c>
      <c r="N650">
        <f>Table1[[#This Row],[Quantity]]*Table1[[#This Row],[Unit_Price]]</f>
        <v>8046</v>
      </c>
      <c r="O650">
        <f>(Table1[[#This Row],[Unit_Price]]-Table1[[#This Row],[Cost_Price]])*Table1[[#This Row],[Quantity]]</f>
        <v>-54</v>
      </c>
      <c r="P650">
        <f t="shared" si="10"/>
        <v>8046</v>
      </c>
      <c r="Q650" t="str">
        <f>TEXT(Table1[[#This Row],[Order_Date]],"mmm-yyyy")</f>
        <v>Feb-2024</v>
      </c>
    </row>
    <row r="651" spans="1:17" x14ac:dyDescent="0.35">
      <c r="A651" t="s">
        <v>991</v>
      </c>
      <c r="B651" t="s">
        <v>871</v>
      </c>
      <c r="C651" t="s">
        <v>42</v>
      </c>
      <c r="D651" t="s">
        <v>22</v>
      </c>
      <c r="E651" t="s">
        <v>33</v>
      </c>
      <c r="F651" t="s">
        <v>23</v>
      </c>
      <c r="G651">
        <v>5</v>
      </c>
      <c r="H651">
        <v>1616</v>
      </c>
      <c r="I651" t="str">
        <f>VLOOKUP(D651,Product_Master!A:D,2,FALSE)</f>
        <v>Desk</v>
      </c>
      <c r="J651" t="str">
        <f>VLOOKUP(D651,Product_Master!A:D,3,FALSE)</f>
        <v>Furniture</v>
      </c>
      <c r="K651">
        <f>VLOOKUP(D651,Product_Master!A:D,4,FALSE)</f>
        <v>300</v>
      </c>
      <c r="L651" t="str">
        <f>VLOOKUP(C651,Customer_Master!A:C,2,FALSE)</f>
        <v>Ramesh</v>
      </c>
      <c r="M651" t="str">
        <f>VLOOKUP(C651,Customer_Master!A:C,3,FALSE)</f>
        <v>Consumer</v>
      </c>
      <c r="N651">
        <f>Table1[[#This Row],[Quantity]]*Table1[[#This Row],[Unit_Price]]</f>
        <v>8080</v>
      </c>
      <c r="O651">
        <f>(Table1[[#This Row],[Unit_Price]]-Table1[[#This Row],[Cost_Price]])*Table1[[#This Row],[Quantity]]</f>
        <v>6580</v>
      </c>
      <c r="P651">
        <f t="shared" si="10"/>
        <v>8080</v>
      </c>
      <c r="Q651" t="str">
        <f>TEXT(Table1[[#This Row],[Order_Date]],"mmm-yyyy")</f>
        <v>Jul-2024</v>
      </c>
    </row>
    <row r="652" spans="1:17" x14ac:dyDescent="0.35">
      <c r="A652" t="s">
        <v>992</v>
      </c>
      <c r="B652" t="s">
        <v>230</v>
      </c>
      <c r="C652" t="s">
        <v>21</v>
      </c>
      <c r="D652" t="s">
        <v>16</v>
      </c>
      <c r="E652" t="s">
        <v>33</v>
      </c>
      <c r="F652" t="s">
        <v>23</v>
      </c>
      <c r="G652">
        <v>10</v>
      </c>
      <c r="H652">
        <v>1688</v>
      </c>
      <c r="I652" t="str">
        <f>VLOOKUP(D652,Product_Master!A:D,2,FALSE)</f>
        <v>Printer</v>
      </c>
      <c r="J652" t="str">
        <f>VLOOKUP(D652,Product_Master!A:D,3,FALSE)</f>
        <v>Electronics</v>
      </c>
      <c r="K652">
        <f>VLOOKUP(D652,Product_Master!A:D,4,FALSE)</f>
        <v>1100</v>
      </c>
      <c r="L652" t="str">
        <f>VLOOKUP(C652,Customer_Master!A:C,2,FALSE)</f>
        <v>Reliance</v>
      </c>
      <c r="M652" t="str">
        <f>VLOOKUP(C652,Customer_Master!A:C,3,FALSE)</f>
        <v>Corporate</v>
      </c>
      <c r="N652">
        <f>Table1[[#This Row],[Quantity]]*Table1[[#This Row],[Unit_Price]]</f>
        <v>16880</v>
      </c>
      <c r="O652">
        <f>(Table1[[#This Row],[Unit_Price]]-Table1[[#This Row],[Cost_Price]])*Table1[[#This Row],[Quantity]]</f>
        <v>5880</v>
      </c>
      <c r="P652">
        <f t="shared" si="10"/>
        <v>16880</v>
      </c>
      <c r="Q652" t="str">
        <f>TEXT(Table1[[#This Row],[Order_Date]],"mmm-yyyy")</f>
        <v>Jan-2024</v>
      </c>
    </row>
    <row r="653" spans="1:17" x14ac:dyDescent="0.35">
      <c r="A653" t="s">
        <v>993</v>
      </c>
      <c r="B653" t="s">
        <v>775</v>
      </c>
      <c r="C653" t="s">
        <v>30</v>
      </c>
      <c r="D653" t="s">
        <v>16</v>
      </c>
      <c r="E653" t="s">
        <v>27</v>
      </c>
      <c r="F653" t="s">
        <v>23</v>
      </c>
      <c r="G653">
        <v>6</v>
      </c>
      <c r="H653">
        <v>1468</v>
      </c>
      <c r="I653" t="str">
        <f>VLOOKUP(D653,Product_Master!A:D,2,FALSE)</f>
        <v>Printer</v>
      </c>
      <c r="J653" t="str">
        <f>VLOOKUP(D653,Product_Master!A:D,3,FALSE)</f>
        <v>Electronics</v>
      </c>
      <c r="K653">
        <f>VLOOKUP(D653,Product_Master!A:D,4,FALSE)</f>
        <v>1100</v>
      </c>
      <c r="L653" t="str">
        <f>VLOOKUP(C653,Customer_Master!A:C,2,FALSE)</f>
        <v>Infosys</v>
      </c>
      <c r="M653" t="str">
        <f>VLOOKUP(C653,Customer_Master!A:C,3,FALSE)</f>
        <v>Corporate</v>
      </c>
      <c r="N653">
        <f>Table1[[#This Row],[Quantity]]*Table1[[#This Row],[Unit_Price]]</f>
        <v>8808</v>
      </c>
      <c r="O653">
        <f>(Table1[[#This Row],[Unit_Price]]-Table1[[#This Row],[Cost_Price]])*Table1[[#This Row],[Quantity]]</f>
        <v>2208</v>
      </c>
      <c r="P653">
        <f t="shared" si="10"/>
        <v>8808</v>
      </c>
      <c r="Q653" t="str">
        <f>TEXT(Table1[[#This Row],[Order_Date]],"mmm-yyyy")</f>
        <v>May-2024</v>
      </c>
    </row>
    <row r="654" spans="1:17" x14ac:dyDescent="0.35">
      <c r="A654" t="s">
        <v>994</v>
      </c>
      <c r="B654" t="s">
        <v>995</v>
      </c>
      <c r="C654" t="s">
        <v>21</v>
      </c>
      <c r="D654" t="s">
        <v>16</v>
      </c>
      <c r="E654" t="s">
        <v>17</v>
      </c>
      <c r="F654" t="s">
        <v>34</v>
      </c>
      <c r="G654">
        <v>1</v>
      </c>
      <c r="H654">
        <v>1849</v>
      </c>
      <c r="I654" t="str">
        <f>VLOOKUP(D654,Product_Master!A:D,2,FALSE)</f>
        <v>Printer</v>
      </c>
      <c r="J654" t="str">
        <f>VLOOKUP(D654,Product_Master!A:D,3,FALSE)</f>
        <v>Electronics</v>
      </c>
      <c r="K654">
        <f>VLOOKUP(D654,Product_Master!A:D,4,FALSE)</f>
        <v>1100</v>
      </c>
      <c r="L654" t="str">
        <f>VLOOKUP(C654,Customer_Master!A:C,2,FALSE)</f>
        <v>Reliance</v>
      </c>
      <c r="M654" t="str">
        <f>VLOOKUP(C654,Customer_Master!A:C,3,FALSE)</f>
        <v>Corporate</v>
      </c>
      <c r="N654">
        <f>Table1[[#This Row],[Quantity]]*Table1[[#This Row],[Unit_Price]]</f>
        <v>1849</v>
      </c>
      <c r="O654">
        <f>(Table1[[#This Row],[Unit_Price]]-Table1[[#This Row],[Cost_Price]])*Table1[[#This Row],[Quantity]]</f>
        <v>749</v>
      </c>
      <c r="P654">
        <f t="shared" si="10"/>
        <v>1849</v>
      </c>
      <c r="Q654" t="str">
        <f>TEXT(Table1[[#This Row],[Order_Date]],"mmm-yyyy")</f>
        <v>Mar-2024</v>
      </c>
    </row>
    <row r="655" spans="1:17" x14ac:dyDescent="0.35">
      <c r="A655" t="s">
        <v>996</v>
      </c>
      <c r="B655" t="s">
        <v>317</v>
      </c>
      <c r="C655" t="s">
        <v>45</v>
      </c>
      <c r="D655" t="s">
        <v>22</v>
      </c>
      <c r="E655" t="s">
        <v>12</v>
      </c>
      <c r="F655" t="s">
        <v>23</v>
      </c>
      <c r="G655">
        <v>1</v>
      </c>
      <c r="H655">
        <v>1501</v>
      </c>
      <c r="I655" t="str">
        <f>VLOOKUP(D655,Product_Master!A:D,2,FALSE)</f>
        <v>Desk</v>
      </c>
      <c r="J655" t="str">
        <f>VLOOKUP(D655,Product_Master!A:D,3,FALSE)</f>
        <v>Furniture</v>
      </c>
      <c r="K655">
        <f>VLOOKUP(D655,Product_Master!A:D,4,FALSE)</f>
        <v>300</v>
      </c>
      <c r="L655" t="str">
        <f>VLOOKUP(C655,Customer_Master!A:C,2,FALSE)</f>
        <v>TCS</v>
      </c>
      <c r="M655" t="str">
        <f>VLOOKUP(C655,Customer_Master!A:C,3,FALSE)</f>
        <v>Corporate</v>
      </c>
      <c r="N655">
        <f>Table1[[#This Row],[Quantity]]*Table1[[#This Row],[Unit_Price]]</f>
        <v>1501</v>
      </c>
      <c r="O655">
        <f>(Table1[[#This Row],[Unit_Price]]-Table1[[#This Row],[Cost_Price]])*Table1[[#This Row],[Quantity]]</f>
        <v>1201</v>
      </c>
      <c r="P655">
        <f t="shared" si="10"/>
        <v>1501</v>
      </c>
      <c r="Q655" t="str">
        <f>TEXT(Table1[[#This Row],[Order_Date]],"mmm-yyyy")</f>
        <v>Oct-2024</v>
      </c>
    </row>
    <row r="656" spans="1:17" x14ac:dyDescent="0.35">
      <c r="A656" t="s">
        <v>997</v>
      </c>
      <c r="B656" t="s">
        <v>476</v>
      </c>
      <c r="C656" t="s">
        <v>21</v>
      </c>
      <c r="D656" t="s">
        <v>37</v>
      </c>
      <c r="E656" t="s">
        <v>12</v>
      </c>
      <c r="F656" t="s">
        <v>18</v>
      </c>
      <c r="G656">
        <v>1</v>
      </c>
      <c r="H656">
        <v>1394</v>
      </c>
      <c r="I656" t="str">
        <f>VLOOKUP(D656,Product_Master!A:D,2,FALSE)</f>
        <v>Mobile</v>
      </c>
      <c r="J656" t="str">
        <f>VLOOKUP(D656,Product_Master!A:D,3,FALSE)</f>
        <v>Electronics</v>
      </c>
      <c r="K656">
        <f>VLOOKUP(D656,Product_Master!A:D,4,FALSE)</f>
        <v>600</v>
      </c>
      <c r="L656" t="str">
        <f>VLOOKUP(C656,Customer_Master!A:C,2,FALSE)</f>
        <v>Reliance</v>
      </c>
      <c r="M656" t="str">
        <f>VLOOKUP(C656,Customer_Master!A:C,3,FALSE)</f>
        <v>Corporate</v>
      </c>
      <c r="N656">
        <f>Table1[[#This Row],[Quantity]]*Table1[[#This Row],[Unit_Price]]</f>
        <v>1394</v>
      </c>
      <c r="O656">
        <f>(Table1[[#This Row],[Unit_Price]]-Table1[[#This Row],[Cost_Price]])*Table1[[#This Row],[Quantity]]</f>
        <v>794</v>
      </c>
      <c r="P656">
        <f t="shared" si="10"/>
        <v>1394</v>
      </c>
      <c r="Q656" t="str">
        <f>TEXT(Table1[[#This Row],[Order_Date]],"mmm-yyyy")</f>
        <v>Apr-2024</v>
      </c>
    </row>
    <row r="657" spans="1:17" x14ac:dyDescent="0.35">
      <c r="A657" t="s">
        <v>998</v>
      </c>
      <c r="B657" t="s">
        <v>726</v>
      </c>
      <c r="C657" t="s">
        <v>30</v>
      </c>
      <c r="D657" t="s">
        <v>22</v>
      </c>
      <c r="E657" t="s">
        <v>17</v>
      </c>
      <c r="F657" t="s">
        <v>23</v>
      </c>
      <c r="G657">
        <v>2</v>
      </c>
      <c r="H657">
        <v>1056</v>
      </c>
      <c r="I657" t="str">
        <f>VLOOKUP(D657,Product_Master!A:D,2,FALSE)</f>
        <v>Desk</v>
      </c>
      <c r="J657" t="str">
        <f>VLOOKUP(D657,Product_Master!A:D,3,FALSE)</f>
        <v>Furniture</v>
      </c>
      <c r="K657">
        <f>VLOOKUP(D657,Product_Master!A:D,4,FALSE)</f>
        <v>300</v>
      </c>
      <c r="L657" t="str">
        <f>VLOOKUP(C657,Customer_Master!A:C,2,FALSE)</f>
        <v>Infosys</v>
      </c>
      <c r="M657" t="str">
        <f>VLOOKUP(C657,Customer_Master!A:C,3,FALSE)</f>
        <v>Corporate</v>
      </c>
      <c r="N657">
        <f>Table1[[#This Row],[Quantity]]*Table1[[#This Row],[Unit_Price]]</f>
        <v>2112</v>
      </c>
      <c r="O657">
        <f>(Table1[[#This Row],[Unit_Price]]-Table1[[#This Row],[Cost_Price]])*Table1[[#This Row],[Quantity]]</f>
        <v>1512</v>
      </c>
      <c r="P657">
        <f t="shared" si="10"/>
        <v>2112</v>
      </c>
      <c r="Q657" t="str">
        <f>TEXT(Table1[[#This Row],[Order_Date]],"mmm-yyyy")</f>
        <v>Oct-2024</v>
      </c>
    </row>
    <row r="658" spans="1:17" x14ac:dyDescent="0.35">
      <c r="A658" t="s">
        <v>999</v>
      </c>
      <c r="B658" t="s">
        <v>1000</v>
      </c>
      <c r="C658" t="s">
        <v>42</v>
      </c>
      <c r="D658" t="s">
        <v>22</v>
      </c>
      <c r="E658" t="s">
        <v>12</v>
      </c>
      <c r="F658" t="s">
        <v>34</v>
      </c>
      <c r="G658">
        <v>10</v>
      </c>
      <c r="H658">
        <v>1578</v>
      </c>
      <c r="I658" t="str">
        <f>VLOOKUP(D658,Product_Master!A:D,2,FALSE)</f>
        <v>Desk</v>
      </c>
      <c r="J658" t="str">
        <f>VLOOKUP(D658,Product_Master!A:D,3,FALSE)</f>
        <v>Furniture</v>
      </c>
      <c r="K658">
        <f>VLOOKUP(D658,Product_Master!A:D,4,FALSE)</f>
        <v>300</v>
      </c>
      <c r="L658" t="str">
        <f>VLOOKUP(C658,Customer_Master!A:C,2,FALSE)</f>
        <v>Ramesh</v>
      </c>
      <c r="M658" t="str">
        <f>VLOOKUP(C658,Customer_Master!A:C,3,FALSE)</f>
        <v>Consumer</v>
      </c>
      <c r="N658">
        <f>Table1[[#This Row],[Quantity]]*Table1[[#This Row],[Unit_Price]]</f>
        <v>15780</v>
      </c>
      <c r="O658">
        <f>(Table1[[#This Row],[Unit_Price]]-Table1[[#This Row],[Cost_Price]])*Table1[[#This Row],[Quantity]]</f>
        <v>12780</v>
      </c>
      <c r="P658">
        <f t="shared" si="10"/>
        <v>15780</v>
      </c>
      <c r="Q658" t="str">
        <f>TEXT(Table1[[#This Row],[Order_Date]],"mmm-yyyy")</f>
        <v>Oct-2024</v>
      </c>
    </row>
    <row r="659" spans="1:17" x14ac:dyDescent="0.35">
      <c r="A659" t="s">
        <v>1001</v>
      </c>
      <c r="B659" t="s">
        <v>297</v>
      </c>
      <c r="C659" t="s">
        <v>10</v>
      </c>
      <c r="D659" t="s">
        <v>11</v>
      </c>
      <c r="E659" t="s">
        <v>27</v>
      </c>
      <c r="F659" t="s">
        <v>34</v>
      </c>
      <c r="G659">
        <v>3</v>
      </c>
      <c r="H659">
        <v>1643</v>
      </c>
      <c r="I659" t="str">
        <f>VLOOKUP(D659,Product_Master!A:D,2,FALSE)</f>
        <v>Chair</v>
      </c>
      <c r="J659" t="str">
        <f>VLOOKUP(D659,Product_Master!A:D,3,FALSE)</f>
        <v>Furniture</v>
      </c>
      <c r="K659">
        <f>VLOOKUP(D659,Product_Master!A:D,4,FALSE)</f>
        <v>150</v>
      </c>
      <c r="L659" t="str">
        <f>VLOOKUP(C659,Customer_Master!A:C,2,FALSE)</f>
        <v>Suresh</v>
      </c>
      <c r="M659" t="str">
        <f>VLOOKUP(C659,Customer_Master!A:C,3,FALSE)</f>
        <v>Consumer</v>
      </c>
      <c r="N659">
        <f>Table1[[#This Row],[Quantity]]*Table1[[#This Row],[Unit_Price]]</f>
        <v>4929</v>
      </c>
      <c r="O659">
        <f>(Table1[[#This Row],[Unit_Price]]-Table1[[#This Row],[Cost_Price]])*Table1[[#This Row],[Quantity]]</f>
        <v>4479</v>
      </c>
      <c r="P659">
        <f t="shared" si="10"/>
        <v>4929</v>
      </c>
      <c r="Q659" t="str">
        <f>TEXT(Table1[[#This Row],[Order_Date]],"mmm-yyyy")</f>
        <v>Sep-2024</v>
      </c>
    </row>
    <row r="660" spans="1:17" x14ac:dyDescent="0.35">
      <c r="A660" t="s">
        <v>1002</v>
      </c>
      <c r="B660" t="s">
        <v>963</v>
      </c>
      <c r="C660" t="s">
        <v>21</v>
      </c>
      <c r="D660" t="s">
        <v>22</v>
      </c>
      <c r="E660" t="s">
        <v>12</v>
      </c>
      <c r="F660" t="s">
        <v>18</v>
      </c>
      <c r="G660">
        <v>10</v>
      </c>
      <c r="H660">
        <v>1114</v>
      </c>
      <c r="I660" t="str">
        <f>VLOOKUP(D660,Product_Master!A:D,2,FALSE)</f>
        <v>Desk</v>
      </c>
      <c r="J660" t="str">
        <f>VLOOKUP(D660,Product_Master!A:D,3,FALSE)</f>
        <v>Furniture</v>
      </c>
      <c r="K660">
        <f>VLOOKUP(D660,Product_Master!A:D,4,FALSE)</f>
        <v>300</v>
      </c>
      <c r="L660" t="str">
        <f>VLOOKUP(C660,Customer_Master!A:C,2,FALSE)</f>
        <v>Reliance</v>
      </c>
      <c r="M660" t="str">
        <f>VLOOKUP(C660,Customer_Master!A:C,3,FALSE)</f>
        <v>Corporate</v>
      </c>
      <c r="N660">
        <f>Table1[[#This Row],[Quantity]]*Table1[[#This Row],[Unit_Price]]</f>
        <v>11140</v>
      </c>
      <c r="O660">
        <f>(Table1[[#This Row],[Unit_Price]]-Table1[[#This Row],[Cost_Price]])*Table1[[#This Row],[Quantity]]</f>
        <v>8140</v>
      </c>
      <c r="P660">
        <f t="shared" si="10"/>
        <v>11140</v>
      </c>
      <c r="Q660" t="str">
        <f>TEXT(Table1[[#This Row],[Order_Date]],"mmm-yyyy")</f>
        <v>Jul-2024</v>
      </c>
    </row>
    <row r="661" spans="1:17" x14ac:dyDescent="0.35">
      <c r="A661" t="s">
        <v>1003</v>
      </c>
      <c r="B661" t="s">
        <v>315</v>
      </c>
      <c r="C661" t="s">
        <v>21</v>
      </c>
      <c r="D661" t="s">
        <v>16</v>
      </c>
      <c r="E661" t="s">
        <v>17</v>
      </c>
      <c r="F661" t="s">
        <v>34</v>
      </c>
      <c r="G661">
        <v>1</v>
      </c>
      <c r="H661">
        <v>1917</v>
      </c>
      <c r="I661" t="str">
        <f>VLOOKUP(D661,Product_Master!A:D,2,FALSE)</f>
        <v>Printer</v>
      </c>
      <c r="J661" t="str">
        <f>VLOOKUP(D661,Product_Master!A:D,3,FALSE)</f>
        <v>Electronics</v>
      </c>
      <c r="K661">
        <f>VLOOKUP(D661,Product_Master!A:D,4,FALSE)</f>
        <v>1100</v>
      </c>
      <c r="L661" t="str">
        <f>VLOOKUP(C661,Customer_Master!A:C,2,FALSE)</f>
        <v>Reliance</v>
      </c>
      <c r="M661" t="str">
        <f>VLOOKUP(C661,Customer_Master!A:C,3,FALSE)</f>
        <v>Corporate</v>
      </c>
      <c r="N661">
        <f>Table1[[#This Row],[Quantity]]*Table1[[#This Row],[Unit_Price]]</f>
        <v>1917</v>
      </c>
      <c r="O661">
        <f>(Table1[[#This Row],[Unit_Price]]-Table1[[#This Row],[Cost_Price]])*Table1[[#This Row],[Quantity]]</f>
        <v>817</v>
      </c>
      <c r="P661">
        <f t="shared" si="10"/>
        <v>1917</v>
      </c>
      <c r="Q661" t="str">
        <f>TEXT(Table1[[#This Row],[Order_Date]],"mmm-yyyy")</f>
        <v>Jan-2024</v>
      </c>
    </row>
    <row r="662" spans="1:17" x14ac:dyDescent="0.35">
      <c r="A662" t="s">
        <v>1004</v>
      </c>
      <c r="B662" t="s">
        <v>690</v>
      </c>
      <c r="C662" t="s">
        <v>21</v>
      </c>
      <c r="D662" t="s">
        <v>16</v>
      </c>
      <c r="E662" t="s">
        <v>27</v>
      </c>
      <c r="F662" t="s">
        <v>13</v>
      </c>
      <c r="G662">
        <v>8</v>
      </c>
      <c r="H662">
        <v>1671</v>
      </c>
      <c r="I662" t="str">
        <f>VLOOKUP(D662,Product_Master!A:D,2,FALSE)</f>
        <v>Printer</v>
      </c>
      <c r="J662" t="str">
        <f>VLOOKUP(D662,Product_Master!A:D,3,FALSE)</f>
        <v>Electronics</v>
      </c>
      <c r="K662">
        <f>VLOOKUP(D662,Product_Master!A:D,4,FALSE)</f>
        <v>1100</v>
      </c>
      <c r="L662" t="str">
        <f>VLOOKUP(C662,Customer_Master!A:C,2,FALSE)</f>
        <v>Reliance</v>
      </c>
      <c r="M662" t="str">
        <f>VLOOKUP(C662,Customer_Master!A:C,3,FALSE)</f>
        <v>Corporate</v>
      </c>
      <c r="N662">
        <f>Table1[[#This Row],[Quantity]]*Table1[[#This Row],[Unit_Price]]</f>
        <v>13368</v>
      </c>
      <c r="O662">
        <f>(Table1[[#This Row],[Unit_Price]]-Table1[[#This Row],[Cost_Price]])*Table1[[#This Row],[Quantity]]</f>
        <v>4568</v>
      </c>
      <c r="P662">
        <f t="shared" si="10"/>
        <v>13368</v>
      </c>
      <c r="Q662" t="str">
        <f>TEXT(Table1[[#This Row],[Order_Date]],"mmm-yyyy")</f>
        <v>Oct-2024</v>
      </c>
    </row>
    <row r="663" spans="1:17" x14ac:dyDescent="0.35">
      <c r="A663" t="s">
        <v>1005</v>
      </c>
      <c r="B663" t="s">
        <v>161</v>
      </c>
      <c r="C663" t="s">
        <v>45</v>
      </c>
      <c r="D663" t="s">
        <v>22</v>
      </c>
      <c r="E663" t="s">
        <v>27</v>
      </c>
      <c r="F663" t="s">
        <v>23</v>
      </c>
      <c r="G663">
        <v>7</v>
      </c>
      <c r="H663">
        <v>1192</v>
      </c>
      <c r="I663" t="str">
        <f>VLOOKUP(D663,Product_Master!A:D,2,FALSE)</f>
        <v>Desk</v>
      </c>
      <c r="J663" t="str">
        <f>VLOOKUP(D663,Product_Master!A:D,3,FALSE)</f>
        <v>Furniture</v>
      </c>
      <c r="K663">
        <f>VLOOKUP(D663,Product_Master!A:D,4,FALSE)</f>
        <v>300</v>
      </c>
      <c r="L663" t="str">
        <f>VLOOKUP(C663,Customer_Master!A:C,2,FALSE)</f>
        <v>TCS</v>
      </c>
      <c r="M663" t="str">
        <f>VLOOKUP(C663,Customer_Master!A:C,3,FALSE)</f>
        <v>Corporate</v>
      </c>
      <c r="N663">
        <f>Table1[[#This Row],[Quantity]]*Table1[[#This Row],[Unit_Price]]</f>
        <v>8344</v>
      </c>
      <c r="O663">
        <f>(Table1[[#This Row],[Unit_Price]]-Table1[[#This Row],[Cost_Price]])*Table1[[#This Row],[Quantity]]</f>
        <v>6244</v>
      </c>
      <c r="P663">
        <f t="shared" si="10"/>
        <v>8344</v>
      </c>
      <c r="Q663" t="str">
        <f>TEXT(Table1[[#This Row],[Order_Date]],"mmm-yyyy")</f>
        <v>Jun-2024</v>
      </c>
    </row>
    <row r="664" spans="1:17" x14ac:dyDescent="0.35">
      <c r="A664" t="s">
        <v>1006</v>
      </c>
      <c r="B664" t="s">
        <v>589</v>
      </c>
      <c r="C664" t="s">
        <v>30</v>
      </c>
      <c r="D664" t="s">
        <v>26</v>
      </c>
      <c r="E664" t="s">
        <v>17</v>
      </c>
      <c r="F664" t="s">
        <v>34</v>
      </c>
      <c r="G664">
        <v>9</v>
      </c>
      <c r="H664">
        <v>1019</v>
      </c>
      <c r="I664" t="str">
        <f>VLOOKUP(D664,Product_Master!A:D,2,FALSE)</f>
        <v>Laptop</v>
      </c>
      <c r="J664" t="str">
        <f>VLOOKUP(D664,Product_Master!A:D,3,FALSE)</f>
        <v>Electronics</v>
      </c>
      <c r="K664">
        <f>VLOOKUP(D664,Product_Master!A:D,4,FALSE)</f>
        <v>900</v>
      </c>
      <c r="L664" t="str">
        <f>VLOOKUP(C664,Customer_Master!A:C,2,FALSE)</f>
        <v>Infosys</v>
      </c>
      <c r="M664" t="str">
        <f>VLOOKUP(C664,Customer_Master!A:C,3,FALSE)</f>
        <v>Corporate</v>
      </c>
      <c r="N664">
        <f>Table1[[#This Row],[Quantity]]*Table1[[#This Row],[Unit_Price]]</f>
        <v>9171</v>
      </c>
      <c r="O664">
        <f>(Table1[[#This Row],[Unit_Price]]-Table1[[#This Row],[Cost_Price]])*Table1[[#This Row],[Quantity]]</f>
        <v>1071</v>
      </c>
      <c r="P664">
        <f t="shared" si="10"/>
        <v>9171</v>
      </c>
      <c r="Q664" t="str">
        <f>TEXT(Table1[[#This Row],[Order_Date]],"mmm-yyyy")</f>
        <v>Sep-2024</v>
      </c>
    </row>
    <row r="665" spans="1:17" x14ac:dyDescent="0.35">
      <c r="A665" t="s">
        <v>1007</v>
      </c>
      <c r="B665" t="s">
        <v>488</v>
      </c>
      <c r="C665" t="s">
        <v>21</v>
      </c>
      <c r="D665" t="s">
        <v>37</v>
      </c>
      <c r="E665" t="s">
        <v>12</v>
      </c>
      <c r="F665" t="s">
        <v>23</v>
      </c>
      <c r="G665">
        <v>7</v>
      </c>
      <c r="H665">
        <v>1436</v>
      </c>
      <c r="I665" t="str">
        <f>VLOOKUP(D665,Product_Master!A:D,2,FALSE)</f>
        <v>Mobile</v>
      </c>
      <c r="J665" t="str">
        <f>VLOOKUP(D665,Product_Master!A:D,3,FALSE)</f>
        <v>Electronics</v>
      </c>
      <c r="K665">
        <f>VLOOKUP(D665,Product_Master!A:D,4,FALSE)</f>
        <v>600</v>
      </c>
      <c r="L665" t="str">
        <f>VLOOKUP(C665,Customer_Master!A:C,2,FALSE)</f>
        <v>Reliance</v>
      </c>
      <c r="M665" t="str">
        <f>VLOOKUP(C665,Customer_Master!A:C,3,FALSE)</f>
        <v>Corporate</v>
      </c>
      <c r="N665">
        <f>Table1[[#This Row],[Quantity]]*Table1[[#This Row],[Unit_Price]]</f>
        <v>10052</v>
      </c>
      <c r="O665">
        <f>(Table1[[#This Row],[Unit_Price]]-Table1[[#This Row],[Cost_Price]])*Table1[[#This Row],[Quantity]]</f>
        <v>5852</v>
      </c>
      <c r="P665">
        <f t="shared" si="10"/>
        <v>10052</v>
      </c>
      <c r="Q665" t="str">
        <f>TEXT(Table1[[#This Row],[Order_Date]],"mmm-yyyy")</f>
        <v>Mar-2024</v>
      </c>
    </row>
    <row r="666" spans="1:17" x14ac:dyDescent="0.35">
      <c r="A666" t="s">
        <v>1008</v>
      </c>
      <c r="B666" t="s">
        <v>357</v>
      </c>
      <c r="C666" t="s">
        <v>45</v>
      </c>
      <c r="D666" t="s">
        <v>26</v>
      </c>
      <c r="E666" t="s">
        <v>12</v>
      </c>
      <c r="F666" t="s">
        <v>18</v>
      </c>
      <c r="G666">
        <v>9</v>
      </c>
      <c r="H666">
        <v>1445</v>
      </c>
      <c r="I666" t="str">
        <f>VLOOKUP(D666,Product_Master!A:D,2,FALSE)</f>
        <v>Laptop</v>
      </c>
      <c r="J666" t="str">
        <f>VLOOKUP(D666,Product_Master!A:D,3,FALSE)</f>
        <v>Electronics</v>
      </c>
      <c r="K666">
        <f>VLOOKUP(D666,Product_Master!A:D,4,FALSE)</f>
        <v>900</v>
      </c>
      <c r="L666" t="str">
        <f>VLOOKUP(C666,Customer_Master!A:C,2,FALSE)</f>
        <v>TCS</v>
      </c>
      <c r="M666" t="str">
        <f>VLOOKUP(C666,Customer_Master!A:C,3,FALSE)</f>
        <v>Corporate</v>
      </c>
      <c r="N666">
        <f>Table1[[#This Row],[Quantity]]*Table1[[#This Row],[Unit_Price]]</f>
        <v>13005</v>
      </c>
      <c r="O666">
        <f>(Table1[[#This Row],[Unit_Price]]-Table1[[#This Row],[Cost_Price]])*Table1[[#This Row],[Quantity]]</f>
        <v>4905</v>
      </c>
      <c r="P666">
        <f t="shared" si="10"/>
        <v>13005</v>
      </c>
      <c r="Q666" t="str">
        <f>TEXT(Table1[[#This Row],[Order_Date]],"mmm-yyyy")</f>
        <v>Dec-2024</v>
      </c>
    </row>
    <row r="667" spans="1:17" x14ac:dyDescent="0.35">
      <c r="A667" t="s">
        <v>1009</v>
      </c>
      <c r="B667" t="s">
        <v>70</v>
      </c>
      <c r="C667" t="s">
        <v>21</v>
      </c>
      <c r="D667" t="s">
        <v>26</v>
      </c>
      <c r="E667" t="s">
        <v>17</v>
      </c>
      <c r="F667" t="s">
        <v>13</v>
      </c>
      <c r="G667">
        <v>4</v>
      </c>
      <c r="H667">
        <v>1309</v>
      </c>
      <c r="I667" t="str">
        <f>VLOOKUP(D667,Product_Master!A:D,2,FALSE)</f>
        <v>Laptop</v>
      </c>
      <c r="J667" t="str">
        <f>VLOOKUP(D667,Product_Master!A:D,3,FALSE)</f>
        <v>Electronics</v>
      </c>
      <c r="K667">
        <f>VLOOKUP(D667,Product_Master!A:D,4,FALSE)</f>
        <v>900</v>
      </c>
      <c r="L667" t="str">
        <f>VLOOKUP(C667,Customer_Master!A:C,2,FALSE)</f>
        <v>Reliance</v>
      </c>
      <c r="M667" t="str">
        <f>VLOOKUP(C667,Customer_Master!A:C,3,FALSE)</f>
        <v>Corporate</v>
      </c>
      <c r="N667">
        <f>Table1[[#This Row],[Quantity]]*Table1[[#This Row],[Unit_Price]]</f>
        <v>5236</v>
      </c>
      <c r="O667">
        <f>(Table1[[#This Row],[Unit_Price]]-Table1[[#This Row],[Cost_Price]])*Table1[[#This Row],[Quantity]]</f>
        <v>1636</v>
      </c>
      <c r="P667">
        <f t="shared" si="10"/>
        <v>5236</v>
      </c>
      <c r="Q667" t="str">
        <f>TEXT(Table1[[#This Row],[Order_Date]],"mmm-yyyy")</f>
        <v>Mar-2024</v>
      </c>
    </row>
    <row r="668" spans="1:17" x14ac:dyDescent="0.35">
      <c r="A668" t="s">
        <v>1010</v>
      </c>
      <c r="B668" t="s">
        <v>1011</v>
      </c>
      <c r="C668" t="s">
        <v>10</v>
      </c>
      <c r="D668" t="s">
        <v>16</v>
      </c>
      <c r="E668" t="s">
        <v>27</v>
      </c>
      <c r="F668" t="s">
        <v>18</v>
      </c>
      <c r="G668">
        <v>8</v>
      </c>
      <c r="H668">
        <v>1060</v>
      </c>
      <c r="I668" t="str">
        <f>VLOOKUP(D668,Product_Master!A:D,2,FALSE)</f>
        <v>Printer</v>
      </c>
      <c r="J668" t="str">
        <f>VLOOKUP(D668,Product_Master!A:D,3,FALSE)</f>
        <v>Electronics</v>
      </c>
      <c r="K668">
        <f>VLOOKUP(D668,Product_Master!A:D,4,FALSE)</f>
        <v>1100</v>
      </c>
      <c r="L668" t="str">
        <f>VLOOKUP(C668,Customer_Master!A:C,2,FALSE)</f>
        <v>Suresh</v>
      </c>
      <c r="M668" t="str">
        <f>VLOOKUP(C668,Customer_Master!A:C,3,FALSE)</f>
        <v>Consumer</v>
      </c>
      <c r="N668">
        <f>Table1[[#This Row],[Quantity]]*Table1[[#This Row],[Unit_Price]]</f>
        <v>8480</v>
      </c>
      <c r="O668">
        <f>(Table1[[#This Row],[Unit_Price]]-Table1[[#This Row],[Cost_Price]])*Table1[[#This Row],[Quantity]]</f>
        <v>-320</v>
      </c>
      <c r="P668">
        <f t="shared" si="10"/>
        <v>8480</v>
      </c>
      <c r="Q668" t="str">
        <f>TEXT(Table1[[#This Row],[Order_Date]],"mmm-yyyy")</f>
        <v>Apr-2024</v>
      </c>
    </row>
    <row r="669" spans="1:17" x14ac:dyDescent="0.35">
      <c r="A669" t="s">
        <v>1012</v>
      </c>
      <c r="B669" t="s">
        <v>567</v>
      </c>
      <c r="C669" t="s">
        <v>30</v>
      </c>
      <c r="D669" t="s">
        <v>26</v>
      </c>
      <c r="E669" t="s">
        <v>12</v>
      </c>
      <c r="F669" t="s">
        <v>13</v>
      </c>
      <c r="G669">
        <v>8</v>
      </c>
      <c r="H669">
        <v>871</v>
      </c>
      <c r="I669" t="str">
        <f>VLOOKUP(D669,Product_Master!A:D,2,FALSE)</f>
        <v>Laptop</v>
      </c>
      <c r="J669" t="str">
        <f>VLOOKUP(D669,Product_Master!A:D,3,FALSE)</f>
        <v>Electronics</v>
      </c>
      <c r="K669">
        <f>VLOOKUP(D669,Product_Master!A:D,4,FALSE)</f>
        <v>900</v>
      </c>
      <c r="L669" t="str">
        <f>VLOOKUP(C669,Customer_Master!A:C,2,FALSE)</f>
        <v>Infosys</v>
      </c>
      <c r="M669" t="str">
        <f>VLOOKUP(C669,Customer_Master!A:C,3,FALSE)</f>
        <v>Corporate</v>
      </c>
      <c r="N669">
        <f>Table1[[#This Row],[Quantity]]*Table1[[#This Row],[Unit_Price]]</f>
        <v>6968</v>
      </c>
      <c r="O669">
        <f>(Table1[[#This Row],[Unit_Price]]-Table1[[#This Row],[Cost_Price]])*Table1[[#This Row],[Quantity]]</f>
        <v>-232</v>
      </c>
      <c r="P669">
        <f t="shared" si="10"/>
        <v>6968</v>
      </c>
      <c r="Q669" t="str">
        <f>TEXT(Table1[[#This Row],[Order_Date]],"mmm-yyyy")</f>
        <v>Apr-2024</v>
      </c>
    </row>
    <row r="670" spans="1:17" x14ac:dyDescent="0.35">
      <c r="A670" t="s">
        <v>1013</v>
      </c>
      <c r="B670" t="s">
        <v>337</v>
      </c>
      <c r="C670" t="s">
        <v>45</v>
      </c>
      <c r="D670" t="s">
        <v>11</v>
      </c>
      <c r="E670" t="s">
        <v>27</v>
      </c>
      <c r="F670" t="s">
        <v>13</v>
      </c>
      <c r="G670">
        <v>7</v>
      </c>
      <c r="H670">
        <v>880</v>
      </c>
      <c r="I670" t="str">
        <f>VLOOKUP(D670,Product_Master!A:D,2,FALSE)</f>
        <v>Chair</v>
      </c>
      <c r="J670" t="str">
        <f>VLOOKUP(D670,Product_Master!A:D,3,FALSE)</f>
        <v>Furniture</v>
      </c>
      <c r="K670">
        <f>VLOOKUP(D670,Product_Master!A:D,4,FALSE)</f>
        <v>150</v>
      </c>
      <c r="L670" t="str">
        <f>VLOOKUP(C670,Customer_Master!A:C,2,FALSE)</f>
        <v>TCS</v>
      </c>
      <c r="M670" t="str">
        <f>VLOOKUP(C670,Customer_Master!A:C,3,FALSE)</f>
        <v>Corporate</v>
      </c>
      <c r="N670">
        <f>Table1[[#This Row],[Quantity]]*Table1[[#This Row],[Unit_Price]]</f>
        <v>6160</v>
      </c>
      <c r="O670">
        <f>(Table1[[#This Row],[Unit_Price]]-Table1[[#This Row],[Cost_Price]])*Table1[[#This Row],[Quantity]]</f>
        <v>5110</v>
      </c>
      <c r="P670">
        <f t="shared" si="10"/>
        <v>6160</v>
      </c>
      <c r="Q670" t="str">
        <f>TEXT(Table1[[#This Row],[Order_Date]],"mmm-yyyy")</f>
        <v>Apr-2024</v>
      </c>
    </row>
    <row r="671" spans="1:17" x14ac:dyDescent="0.35">
      <c r="A671" t="s">
        <v>1014</v>
      </c>
      <c r="B671" t="s">
        <v>423</v>
      </c>
      <c r="C671" t="s">
        <v>30</v>
      </c>
      <c r="D671" t="s">
        <v>26</v>
      </c>
      <c r="E671" t="s">
        <v>12</v>
      </c>
      <c r="F671" t="s">
        <v>23</v>
      </c>
      <c r="G671">
        <v>1</v>
      </c>
      <c r="H671">
        <v>939</v>
      </c>
      <c r="I671" t="str">
        <f>VLOOKUP(D671,Product_Master!A:D,2,FALSE)</f>
        <v>Laptop</v>
      </c>
      <c r="J671" t="str">
        <f>VLOOKUP(D671,Product_Master!A:D,3,FALSE)</f>
        <v>Electronics</v>
      </c>
      <c r="K671">
        <f>VLOOKUP(D671,Product_Master!A:D,4,FALSE)</f>
        <v>900</v>
      </c>
      <c r="L671" t="str">
        <f>VLOOKUP(C671,Customer_Master!A:C,2,FALSE)</f>
        <v>Infosys</v>
      </c>
      <c r="M671" t="str">
        <f>VLOOKUP(C671,Customer_Master!A:C,3,FALSE)</f>
        <v>Corporate</v>
      </c>
      <c r="N671">
        <f>Table1[[#This Row],[Quantity]]*Table1[[#This Row],[Unit_Price]]</f>
        <v>939</v>
      </c>
      <c r="O671">
        <f>(Table1[[#This Row],[Unit_Price]]-Table1[[#This Row],[Cost_Price]])*Table1[[#This Row],[Quantity]]</f>
        <v>39</v>
      </c>
      <c r="P671">
        <f t="shared" si="10"/>
        <v>939</v>
      </c>
      <c r="Q671" t="str">
        <f>TEXT(Table1[[#This Row],[Order_Date]],"mmm-yyyy")</f>
        <v>Nov-2024</v>
      </c>
    </row>
    <row r="672" spans="1:17" x14ac:dyDescent="0.35">
      <c r="A672" t="s">
        <v>1015</v>
      </c>
      <c r="B672" t="s">
        <v>932</v>
      </c>
      <c r="C672" t="s">
        <v>10</v>
      </c>
      <c r="D672" t="s">
        <v>22</v>
      </c>
      <c r="E672" t="s">
        <v>27</v>
      </c>
      <c r="F672" t="s">
        <v>13</v>
      </c>
      <c r="G672">
        <v>8</v>
      </c>
      <c r="H672">
        <v>1657</v>
      </c>
      <c r="I672" t="str">
        <f>VLOOKUP(D672,Product_Master!A:D,2,FALSE)</f>
        <v>Desk</v>
      </c>
      <c r="J672" t="str">
        <f>VLOOKUP(D672,Product_Master!A:D,3,FALSE)</f>
        <v>Furniture</v>
      </c>
      <c r="K672">
        <f>VLOOKUP(D672,Product_Master!A:D,4,FALSE)</f>
        <v>300</v>
      </c>
      <c r="L672" t="str">
        <f>VLOOKUP(C672,Customer_Master!A:C,2,FALSE)</f>
        <v>Suresh</v>
      </c>
      <c r="M672" t="str">
        <f>VLOOKUP(C672,Customer_Master!A:C,3,FALSE)</f>
        <v>Consumer</v>
      </c>
      <c r="N672">
        <f>Table1[[#This Row],[Quantity]]*Table1[[#This Row],[Unit_Price]]</f>
        <v>13256</v>
      </c>
      <c r="O672">
        <f>(Table1[[#This Row],[Unit_Price]]-Table1[[#This Row],[Cost_Price]])*Table1[[#This Row],[Quantity]]</f>
        <v>10856</v>
      </c>
      <c r="P672">
        <f t="shared" si="10"/>
        <v>13256</v>
      </c>
      <c r="Q672" t="str">
        <f>TEXT(Table1[[#This Row],[Order_Date]],"mmm-yyyy")</f>
        <v>Jan-2024</v>
      </c>
    </row>
    <row r="673" spans="1:17" x14ac:dyDescent="0.35">
      <c r="A673" t="s">
        <v>1016</v>
      </c>
      <c r="B673" t="s">
        <v>522</v>
      </c>
      <c r="C673" t="s">
        <v>21</v>
      </c>
      <c r="D673" t="s">
        <v>37</v>
      </c>
      <c r="E673" t="s">
        <v>33</v>
      </c>
      <c r="F673" t="s">
        <v>18</v>
      </c>
      <c r="G673">
        <v>10</v>
      </c>
      <c r="H673">
        <v>1772</v>
      </c>
      <c r="I673" t="str">
        <f>VLOOKUP(D673,Product_Master!A:D,2,FALSE)</f>
        <v>Mobile</v>
      </c>
      <c r="J673" t="str">
        <f>VLOOKUP(D673,Product_Master!A:D,3,FALSE)</f>
        <v>Electronics</v>
      </c>
      <c r="K673">
        <f>VLOOKUP(D673,Product_Master!A:D,4,FALSE)</f>
        <v>600</v>
      </c>
      <c r="L673" t="str">
        <f>VLOOKUP(C673,Customer_Master!A:C,2,FALSE)</f>
        <v>Reliance</v>
      </c>
      <c r="M673" t="str">
        <f>VLOOKUP(C673,Customer_Master!A:C,3,FALSE)</f>
        <v>Corporate</v>
      </c>
      <c r="N673">
        <f>Table1[[#This Row],[Quantity]]*Table1[[#This Row],[Unit_Price]]</f>
        <v>17720</v>
      </c>
      <c r="O673">
        <f>(Table1[[#This Row],[Unit_Price]]-Table1[[#This Row],[Cost_Price]])*Table1[[#This Row],[Quantity]]</f>
        <v>11720</v>
      </c>
      <c r="P673">
        <f t="shared" si="10"/>
        <v>17720</v>
      </c>
      <c r="Q673" t="str">
        <f>TEXT(Table1[[#This Row],[Order_Date]],"mmm-yyyy")</f>
        <v>Feb-2024</v>
      </c>
    </row>
    <row r="674" spans="1:17" x14ac:dyDescent="0.35">
      <c r="A674" t="s">
        <v>1017</v>
      </c>
      <c r="B674" t="s">
        <v>904</v>
      </c>
      <c r="C674" t="s">
        <v>42</v>
      </c>
      <c r="D674" t="s">
        <v>16</v>
      </c>
      <c r="E674" t="s">
        <v>27</v>
      </c>
      <c r="F674" t="s">
        <v>34</v>
      </c>
      <c r="G674">
        <v>9</v>
      </c>
      <c r="H674">
        <v>1141</v>
      </c>
      <c r="I674" t="str">
        <f>VLOOKUP(D674,Product_Master!A:D,2,FALSE)</f>
        <v>Printer</v>
      </c>
      <c r="J674" t="str">
        <f>VLOOKUP(D674,Product_Master!A:D,3,FALSE)</f>
        <v>Electronics</v>
      </c>
      <c r="K674">
        <f>VLOOKUP(D674,Product_Master!A:D,4,FALSE)</f>
        <v>1100</v>
      </c>
      <c r="L674" t="str">
        <f>VLOOKUP(C674,Customer_Master!A:C,2,FALSE)</f>
        <v>Ramesh</v>
      </c>
      <c r="M674" t="str">
        <f>VLOOKUP(C674,Customer_Master!A:C,3,FALSE)</f>
        <v>Consumer</v>
      </c>
      <c r="N674">
        <f>Table1[[#This Row],[Quantity]]*Table1[[#This Row],[Unit_Price]]</f>
        <v>10269</v>
      </c>
      <c r="O674">
        <f>(Table1[[#This Row],[Unit_Price]]-Table1[[#This Row],[Cost_Price]])*Table1[[#This Row],[Quantity]]</f>
        <v>369</v>
      </c>
      <c r="P674">
        <f t="shared" si="10"/>
        <v>10269</v>
      </c>
      <c r="Q674" t="str">
        <f>TEXT(Table1[[#This Row],[Order_Date]],"mmm-yyyy")</f>
        <v>Dec-2024</v>
      </c>
    </row>
    <row r="675" spans="1:17" x14ac:dyDescent="0.35">
      <c r="A675" t="s">
        <v>1018</v>
      </c>
      <c r="B675" t="s">
        <v>474</v>
      </c>
      <c r="C675" t="s">
        <v>30</v>
      </c>
      <c r="D675" t="s">
        <v>37</v>
      </c>
      <c r="E675" t="s">
        <v>12</v>
      </c>
      <c r="F675" t="s">
        <v>13</v>
      </c>
      <c r="G675">
        <v>7</v>
      </c>
      <c r="H675">
        <v>1053</v>
      </c>
      <c r="I675" t="str">
        <f>VLOOKUP(D675,Product_Master!A:D,2,FALSE)</f>
        <v>Mobile</v>
      </c>
      <c r="J675" t="str">
        <f>VLOOKUP(D675,Product_Master!A:D,3,FALSE)</f>
        <v>Electronics</v>
      </c>
      <c r="K675">
        <f>VLOOKUP(D675,Product_Master!A:D,4,FALSE)</f>
        <v>600</v>
      </c>
      <c r="L675" t="str">
        <f>VLOOKUP(C675,Customer_Master!A:C,2,FALSE)</f>
        <v>Infosys</v>
      </c>
      <c r="M675" t="str">
        <f>VLOOKUP(C675,Customer_Master!A:C,3,FALSE)</f>
        <v>Corporate</v>
      </c>
      <c r="N675">
        <f>Table1[[#This Row],[Quantity]]*Table1[[#This Row],[Unit_Price]]</f>
        <v>7371</v>
      </c>
      <c r="O675">
        <f>(Table1[[#This Row],[Unit_Price]]-Table1[[#This Row],[Cost_Price]])*Table1[[#This Row],[Quantity]]</f>
        <v>3171</v>
      </c>
      <c r="P675">
        <f t="shared" si="10"/>
        <v>7371</v>
      </c>
      <c r="Q675" t="str">
        <f>TEXT(Table1[[#This Row],[Order_Date]],"mmm-yyyy")</f>
        <v>May-2024</v>
      </c>
    </row>
    <row r="676" spans="1:17" x14ac:dyDescent="0.35">
      <c r="A676" t="s">
        <v>1019</v>
      </c>
      <c r="B676" t="s">
        <v>517</v>
      </c>
      <c r="C676" t="s">
        <v>30</v>
      </c>
      <c r="D676" t="s">
        <v>16</v>
      </c>
      <c r="E676" t="s">
        <v>12</v>
      </c>
      <c r="F676" t="s">
        <v>13</v>
      </c>
      <c r="G676">
        <v>7</v>
      </c>
      <c r="H676">
        <v>1357</v>
      </c>
      <c r="I676" t="str">
        <f>VLOOKUP(D676,Product_Master!A:D,2,FALSE)</f>
        <v>Printer</v>
      </c>
      <c r="J676" t="str">
        <f>VLOOKUP(D676,Product_Master!A:D,3,FALSE)</f>
        <v>Electronics</v>
      </c>
      <c r="K676">
        <f>VLOOKUP(D676,Product_Master!A:D,4,FALSE)</f>
        <v>1100</v>
      </c>
      <c r="L676" t="str">
        <f>VLOOKUP(C676,Customer_Master!A:C,2,FALSE)</f>
        <v>Infosys</v>
      </c>
      <c r="M676" t="str">
        <f>VLOOKUP(C676,Customer_Master!A:C,3,FALSE)</f>
        <v>Corporate</v>
      </c>
      <c r="N676">
        <f>Table1[[#This Row],[Quantity]]*Table1[[#This Row],[Unit_Price]]</f>
        <v>9499</v>
      </c>
      <c r="O676">
        <f>(Table1[[#This Row],[Unit_Price]]-Table1[[#This Row],[Cost_Price]])*Table1[[#This Row],[Quantity]]</f>
        <v>1799</v>
      </c>
      <c r="P676">
        <f t="shared" si="10"/>
        <v>9499</v>
      </c>
      <c r="Q676" t="str">
        <f>TEXT(Table1[[#This Row],[Order_Date]],"mmm-yyyy")</f>
        <v>May-2024</v>
      </c>
    </row>
    <row r="677" spans="1:17" x14ac:dyDescent="0.35">
      <c r="A677" t="s">
        <v>1020</v>
      </c>
      <c r="B677" t="s">
        <v>397</v>
      </c>
      <c r="C677" t="s">
        <v>21</v>
      </c>
      <c r="D677" t="s">
        <v>26</v>
      </c>
      <c r="E677" t="s">
        <v>27</v>
      </c>
      <c r="F677" t="s">
        <v>18</v>
      </c>
      <c r="G677">
        <v>4</v>
      </c>
      <c r="H677">
        <v>815</v>
      </c>
      <c r="I677" t="str">
        <f>VLOOKUP(D677,Product_Master!A:D,2,FALSE)</f>
        <v>Laptop</v>
      </c>
      <c r="J677" t="str">
        <f>VLOOKUP(D677,Product_Master!A:D,3,FALSE)</f>
        <v>Electronics</v>
      </c>
      <c r="K677">
        <f>VLOOKUP(D677,Product_Master!A:D,4,FALSE)</f>
        <v>900</v>
      </c>
      <c r="L677" t="str">
        <f>VLOOKUP(C677,Customer_Master!A:C,2,FALSE)</f>
        <v>Reliance</v>
      </c>
      <c r="M677" t="str">
        <f>VLOOKUP(C677,Customer_Master!A:C,3,FALSE)</f>
        <v>Corporate</v>
      </c>
      <c r="N677">
        <f>Table1[[#This Row],[Quantity]]*Table1[[#This Row],[Unit_Price]]</f>
        <v>3260</v>
      </c>
      <c r="O677">
        <f>(Table1[[#This Row],[Unit_Price]]-Table1[[#This Row],[Cost_Price]])*Table1[[#This Row],[Quantity]]</f>
        <v>-340</v>
      </c>
      <c r="P677">
        <f t="shared" si="10"/>
        <v>3260</v>
      </c>
      <c r="Q677" t="str">
        <f>TEXT(Table1[[#This Row],[Order_Date]],"mmm-yyyy")</f>
        <v>Apr-2024</v>
      </c>
    </row>
    <row r="678" spans="1:17" x14ac:dyDescent="0.35">
      <c r="A678" t="s">
        <v>1021</v>
      </c>
      <c r="B678" t="s">
        <v>401</v>
      </c>
      <c r="C678" t="s">
        <v>10</v>
      </c>
      <c r="D678" t="s">
        <v>37</v>
      </c>
      <c r="E678" t="s">
        <v>33</v>
      </c>
      <c r="F678" t="s">
        <v>13</v>
      </c>
      <c r="G678">
        <v>10</v>
      </c>
      <c r="H678">
        <v>1872</v>
      </c>
      <c r="I678" t="str">
        <f>VLOOKUP(D678,Product_Master!A:D,2,FALSE)</f>
        <v>Mobile</v>
      </c>
      <c r="J678" t="str">
        <f>VLOOKUP(D678,Product_Master!A:D,3,FALSE)</f>
        <v>Electronics</v>
      </c>
      <c r="K678">
        <f>VLOOKUP(D678,Product_Master!A:D,4,FALSE)</f>
        <v>600</v>
      </c>
      <c r="L678" t="str">
        <f>VLOOKUP(C678,Customer_Master!A:C,2,FALSE)</f>
        <v>Suresh</v>
      </c>
      <c r="M678" t="str">
        <f>VLOOKUP(C678,Customer_Master!A:C,3,FALSE)</f>
        <v>Consumer</v>
      </c>
      <c r="N678">
        <f>Table1[[#This Row],[Quantity]]*Table1[[#This Row],[Unit_Price]]</f>
        <v>18720</v>
      </c>
      <c r="O678">
        <f>(Table1[[#This Row],[Unit_Price]]-Table1[[#This Row],[Cost_Price]])*Table1[[#This Row],[Quantity]]</f>
        <v>12720</v>
      </c>
      <c r="P678">
        <f t="shared" si="10"/>
        <v>18720</v>
      </c>
      <c r="Q678" t="str">
        <f>TEXT(Table1[[#This Row],[Order_Date]],"mmm-yyyy")</f>
        <v>Sep-2024</v>
      </c>
    </row>
    <row r="679" spans="1:17" x14ac:dyDescent="0.35">
      <c r="A679" t="s">
        <v>1022</v>
      </c>
      <c r="B679" t="s">
        <v>165</v>
      </c>
      <c r="C679" t="s">
        <v>42</v>
      </c>
      <c r="D679" t="s">
        <v>16</v>
      </c>
      <c r="E679" t="s">
        <v>17</v>
      </c>
      <c r="F679" t="s">
        <v>13</v>
      </c>
      <c r="G679">
        <v>2</v>
      </c>
      <c r="H679">
        <v>1052</v>
      </c>
      <c r="I679" t="str">
        <f>VLOOKUP(D679,Product_Master!A:D,2,FALSE)</f>
        <v>Printer</v>
      </c>
      <c r="J679" t="str">
        <f>VLOOKUP(D679,Product_Master!A:D,3,FALSE)</f>
        <v>Electronics</v>
      </c>
      <c r="K679">
        <f>VLOOKUP(D679,Product_Master!A:D,4,FALSE)</f>
        <v>1100</v>
      </c>
      <c r="L679" t="str">
        <f>VLOOKUP(C679,Customer_Master!A:C,2,FALSE)</f>
        <v>Ramesh</v>
      </c>
      <c r="M679" t="str">
        <f>VLOOKUP(C679,Customer_Master!A:C,3,FALSE)</f>
        <v>Consumer</v>
      </c>
      <c r="N679">
        <f>Table1[[#This Row],[Quantity]]*Table1[[#This Row],[Unit_Price]]</f>
        <v>2104</v>
      </c>
      <c r="O679">
        <f>(Table1[[#This Row],[Unit_Price]]-Table1[[#This Row],[Cost_Price]])*Table1[[#This Row],[Quantity]]</f>
        <v>-96</v>
      </c>
      <c r="P679">
        <f t="shared" si="10"/>
        <v>2104</v>
      </c>
      <c r="Q679" t="str">
        <f>TEXT(Table1[[#This Row],[Order_Date]],"mmm-yyyy")</f>
        <v>Feb-2024</v>
      </c>
    </row>
    <row r="680" spans="1:17" x14ac:dyDescent="0.35">
      <c r="A680" t="s">
        <v>1023</v>
      </c>
      <c r="B680" t="s">
        <v>552</v>
      </c>
      <c r="C680" t="s">
        <v>10</v>
      </c>
      <c r="D680" t="s">
        <v>11</v>
      </c>
      <c r="E680" t="s">
        <v>17</v>
      </c>
      <c r="F680" t="s">
        <v>13</v>
      </c>
      <c r="G680">
        <v>10</v>
      </c>
      <c r="H680">
        <v>1855</v>
      </c>
      <c r="I680" t="str">
        <f>VLOOKUP(D680,Product_Master!A:D,2,FALSE)</f>
        <v>Chair</v>
      </c>
      <c r="J680" t="str">
        <f>VLOOKUP(D680,Product_Master!A:D,3,FALSE)</f>
        <v>Furniture</v>
      </c>
      <c r="K680">
        <f>VLOOKUP(D680,Product_Master!A:D,4,FALSE)</f>
        <v>150</v>
      </c>
      <c r="L680" t="str">
        <f>VLOOKUP(C680,Customer_Master!A:C,2,FALSE)</f>
        <v>Suresh</v>
      </c>
      <c r="M680" t="str">
        <f>VLOOKUP(C680,Customer_Master!A:C,3,FALSE)</f>
        <v>Consumer</v>
      </c>
      <c r="N680">
        <f>Table1[[#This Row],[Quantity]]*Table1[[#This Row],[Unit_Price]]</f>
        <v>18550</v>
      </c>
      <c r="O680">
        <f>(Table1[[#This Row],[Unit_Price]]-Table1[[#This Row],[Cost_Price]])*Table1[[#This Row],[Quantity]]</f>
        <v>17050</v>
      </c>
      <c r="P680">
        <f t="shared" si="10"/>
        <v>18550</v>
      </c>
      <c r="Q680" t="str">
        <f>TEXT(Table1[[#This Row],[Order_Date]],"mmm-yyyy")</f>
        <v>Sep-2024</v>
      </c>
    </row>
    <row r="681" spans="1:17" x14ac:dyDescent="0.35">
      <c r="A681" t="s">
        <v>1024</v>
      </c>
      <c r="B681" t="s">
        <v>331</v>
      </c>
      <c r="C681" t="s">
        <v>30</v>
      </c>
      <c r="D681" t="s">
        <v>37</v>
      </c>
      <c r="E681" t="s">
        <v>12</v>
      </c>
      <c r="F681" t="s">
        <v>13</v>
      </c>
      <c r="G681">
        <v>7</v>
      </c>
      <c r="H681">
        <v>1681</v>
      </c>
      <c r="I681" t="str">
        <f>VLOOKUP(D681,Product_Master!A:D,2,FALSE)</f>
        <v>Mobile</v>
      </c>
      <c r="J681" t="str">
        <f>VLOOKUP(D681,Product_Master!A:D,3,FALSE)</f>
        <v>Electronics</v>
      </c>
      <c r="K681">
        <f>VLOOKUP(D681,Product_Master!A:D,4,FALSE)</f>
        <v>600</v>
      </c>
      <c r="L681" t="str">
        <f>VLOOKUP(C681,Customer_Master!A:C,2,FALSE)</f>
        <v>Infosys</v>
      </c>
      <c r="M681" t="str">
        <f>VLOOKUP(C681,Customer_Master!A:C,3,FALSE)</f>
        <v>Corporate</v>
      </c>
      <c r="N681">
        <f>Table1[[#This Row],[Quantity]]*Table1[[#This Row],[Unit_Price]]</f>
        <v>11767</v>
      </c>
      <c r="O681">
        <f>(Table1[[#This Row],[Unit_Price]]-Table1[[#This Row],[Cost_Price]])*Table1[[#This Row],[Quantity]]</f>
        <v>7567</v>
      </c>
      <c r="P681">
        <f t="shared" si="10"/>
        <v>11767</v>
      </c>
      <c r="Q681" t="str">
        <f>TEXT(Table1[[#This Row],[Order_Date]],"mmm-yyyy")</f>
        <v>Oct-2024</v>
      </c>
    </row>
    <row r="682" spans="1:17" x14ac:dyDescent="0.35">
      <c r="A682" t="s">
        <v>1025</v>
      </c>
      <c r="B682" t="s">
        <v>1026</v>
      </c>
      <c r="C682" t="s">
        <v>21</v>
      </c>
      <c r="D682" t="s">
        <v>37</v>
      </c>
      <c r="E682" t="s">
        <v>27</v>
      </c>
      <c r="F682" t="s">
        <v>13</v>
      </c>
      <c r="G682">
        <v>5</v>
      </c>
      <c r="H682">
        <v>1880</v>
      </c>
      <c r="I682" t="str">
        <f>VLOOKUP(D682,Product_Master!A:D,2,FALSE)</f>
        <v>Mobile</v>
      </c>
      <c r="J682" t="str">
        <f>VLOOKUP(D682,Product_Master!A:D,3,FALSE)</f>
        <v>Electronics</v>
      </c>
      <c r="K682">
        <f>VLOOKUP(D682,Product_Master!A:D,4,FALSE)</f>
        <v>600</v>
      </c>
      <c r="L682" t="str">
        <f>VLOOKUP(C682,Customer_Master!A:C,2,FALSE)</f>
        <v>Reliance</v>
      </c>
      <c r="M682" t="str">
        <f>VLOOKUP(C682,Customer_Master!A:C,3,FALSE)</f>
        <v>Corporate</v>
      </c>
      <c r="N682">
        <f>Table1[[#This Row],[Quantity]]*Table1[[#This Row],[Unit_Price]]</f>
        <v>9400</v>
      </c>
      <c r="O682">
        <f>(Table1[[#This Row],[Unit_Price]]-Table1[[#This Row],[Cost_Price]])*Table1[[#This Row],[Quantity]]</f>
        <v>6400</v>
      </c>
      <c r="P682">
        <f t="shared" si="10"/>
        <v>9400</v>
      </c>
      <c r="Q682" t="str">
        <f>TEXT(Table1[[#This Row],[Order_Date]],"mmm-yyyy")</f>
        <v>Jun-2024</v>
      </c>
    </row>
    <row r="683" spans="1:17" x14ac:dyDescent="0.35">
      <c r="A683" t="s">
        <v>1027</v>
      </c>
      <c r="B683" t="s">
        <v>665</v>
      </c>
      <c r="C683" t="s">
        <v>30</v>
      </c>
      <c r="D683" t="s">
        <v>16</v>
      </c>
      <c r="E683" t="s">
        <v>33</v>
      </c>
      <c r="F683" t="s">
        <v>23</v>
      </c>
      <c r="G683">
        <v>1</v>
      </c>
      <c r="H683">
        <v>1267</v>
      </c>
      <c r="I683" t="str">
        <f>VLOOKUP(D683,Product_Master!A:D,2,FALSE)</f>
        <v>Printer</v>
      </c>
      <c r="J683" t="str">
        <f>VLOOKUP(D683,Product_Master!A:D,3,FALSE)</f>
        <v>Electronics</v>
      </c>
      <c r="K683">
        <f>VLOOKUP(D683,Product_Master!A:D,4,FALSE)</f>
        <v>1100</v>
      </c>
      <c r="L683" t="str">
        <f>VLOOKUP(C683,Customer_Master!A:C,2,FALSE)</f>
        <v>Infosys</v>
      </c>
      <c r="M683" t="str">
        <f>VLOOKUP(C683,Customer_Master!A:C,3,FALSE)</f>
        <v>Corporate</v>
      </c>
      <c r="N683">
        <f>Table1[[#This Row],[Quantity]]*Table1[[#This Row],[Unit_Price]]</f>
        <v>1267</v>
      </c>
      <c r="O683">
        <f>(Table1[[#This Row],[Unit_Price]]-Table1[[#This Row],[Cost_Price]])*Table1[[#This Row],[Quantity]]</f>
        <v>167</v>
      </c>
      <c r="P683">
        <f t="shared" si="10"/>
        <v>1267</v>
      </c>
      <c r="Q683" t="str">
        <f>TEXT(Table1[[#This Row],[Order_Date]],"mmm-yyyy")</f>
        <v>Aug-2024</v>
      </c>
    </row>
    <row r="684" spans="1:17" x14ac:dyDescent="0.35">
      <c r="A684" t="s">
        <v>1028</v>
      </c>
      <c r="B684" t="s">
        <v>325</v>
      </c>
      <c r="C684" t="s">
        <v>21</v>
      </c>
      <c r="D684" t="s">
        <v>26</v>
      </c>
      <c r="E684" t="s">
        <v>27</v>
      </c>
      <c r="F684" t="s">
        <v>23</v>
      </c>
      <c r="G684">
        <v>1</v>
      </c>
      <c r="H684">
        <v>1519</v>
      </c>
      <c r="I684" t="str">
        <f>VLOOKUP(D684,Product_Master!A:D,2,FALSE)</f>
        <v>Laptop</v>
      </c>
      <c r="J684" t="str">
        <f>VLOOKUP(D684,Product_Master!A:D,3,FALSE)</f>
        <v>Electronics</v>
      </c>
      <c r="K684">
        <f>VLOOKUP(D684,Product_Master!A:D,4,FALSE)</f>
        <v>900</v>
      </c>
      <c r="L684" t="str">
        <f>VLOOKUP(C684,Customer_Master!A:C,2,FALSE)</f>
        <v>Reliance</v>
      </c>
      <c r="M684" t="str">
        <f>VLOOKUP(C684,Customer_Master!A:C,3,FALSE)</f>
        <v>Corporate</v>
      </c>
      <c r="N684">
        <f>Table1[[#This Row],[Quantity]]*Table1[[#This Row],[Unit_Price]]</f>
        <v>1519</v>
      </c>
      <c r="O684">
        <f>(Table1[[#This Row],[Unit_Price]]-Table1[[#This Row],[Cost_Price]])*Table1[[#This Row],[Quantity]]</f>
        <v>619</v>
      </c>
      <c r="P684">
        <f t="shared" si="10"/>
        <v>1519</v>
      </c>
      <c r="Q684" t="str">
        <f>TEXT(Table1[[#This Row],[Order_Date]],"mmm-yyyy")</f>
        <v>Dec-2024</v>
      </c>
    </row>
    <row r="685" spans="1:17" x14ac:dyDescent="0.35">
      <c r="A685" t="s">
        <v>1029</v>
      </c>
      <c r="B685" t="s">
        <v>437</v>
      </c>
      <c r="C685" t="s">
        <v>45</v>
      </c>
      <c r="D685" t="s">
        <v>22</v>
      </c>
      <c r="E685" t="s">
        <v>33</v>
      </c>
      <c r="F685" t="s">
        <v>18</v>
      </c>
      <c r="G685">
        <v>2</v>
      </c>
      <c r="H685">
        <v>1625</v>
      </c>
      <c r="I685" t="str">
        <f>VLOOKUP(D685,Product_Master!A:D,2,FALSE)</f>
        <v>Desk</v>
      </c>
      <c r="J685" t="str">
        <f>VLOOKUP(D685,Product_Master!A:D,3,FALSE)</f>
        <v>Furniture</v>
      </c>
      <c r="K685">
        <f>VLOOKUP(D685,Product_Master!A:D,4,FALSE)</f>
        <v>300</v>
      </c>
      <c r="L685" t="str">
        <f>VLOOKUP(C685,Customer_Master!A:C,2,FALSE)</f>
        <v>TCS</v>
      </c>
      <c r="M685" t="str">
        <f>VLOOKUP(C685,Customer_Master!A:C,3,FALSE)</f>
        <v>Corporate</v>
      </c>
      <c r="N685">
        <f>Table1[[#This Row],[Quantity]]*Table1[[#This Row],[Unit_Price]]</f>
        <v>3250</v>
      </c>
      <c r="O685">
        <f>(Table1[[#This Row],[Unit_Price]]-Table1[[#This Row],[Cost_Price]])*Table1[[#This Row],[Quantity]]</f>
        <v>2650</v>
      </c>
      <c r="P685">
        <f t="shared" si="10"/>
        <v>3250</v>
      </c>
      <c r="Q685" t="str">
        <f>TEXT(Table1[[#This Row],[Order_Date]],"mmm-yyyy")</f>
        <v>Jul-2024</v>
      </c>
    </row>
    <row r="686" spans="1:17" x14ac:dyDescent="0.35">
      <c r="A686" t="s">
        <v>1030</v>
      </c>
      <c r="B686" t="s">
        <v>456</v>
      </c>
      <c r="C686" t="s">
        <v>10</v>
      </c>
      <c r="D686" t="s">
        <v>22</v>
      </c>
      <c r="E686" t="s">
        <v>27</v>
      </c>
      <c r="F686" t="s">
        <v>13</v>
      </c>
      <c r="G686">
        <v>5</v>
      </c>
      <c r="H686">
        <v>1012</v>
      </c>
      <c r="I686" t="str">
        <f>VLOOKUP(D686,Product_Master!A:D,2,FALSE)</f>
        <v>Desk</v>
      </c>
      <c r="J686" t="str">
        <f>VLOOKUP(D686,Product_Master!A:D,3,FALSE)</f>
        <v>Furniture</v>
      </c>
      <c r="K686">
        <f>VLOOKUP(D686,Product_Master!A:D,4,FALSE)</f>
        <v>300</v>
      </c>
      <c r="L686" t="str">
        <f>VLOOKUP(C686,Customer_Master!A:C,2,FALSE)</f>
        <v>Suresh</v>
      </c>
      <c r="M686" t="str">
        <f>VLOOKUP(C686,Customer_Master!A:C,3,FALSE)</f>
        <v>Consumer</v>
      </c>
      <c r="N686">
        <f>Table1[[#This Row],[Quantity]]*Table1[[#This Row],[Unit_Price]]</f>
        <v>5060</v>
      </c>
      <c r="O686">
        <f>(Table1[[#This Row],[Unit_Price]]-Table1[[#This Row],[Cost_Price]])*Table1[[#This Row],[Quantity]]</f>
        <v>3560</v>
      </c>
      <c r="P686">
        <f t="shared" si="10"/>
        <v>5060</v>
      </c>
      <c r="Q686" t="str">
        <f>TEXT(Table1[[#This Row],[Order_Date]],"mmm-yyyy")</f>
        <v>Dec-2024</v>
      </c>
    </row>
    <row r="687" spans="1:17" x14ac:dyDescent="0.35">
      <c r="A687" t="s">
        <v>1031</v>
      </c>
      <c r="B687" t="s">
        <v>86</v>
      </c>
      <c r="C687" t="s">
        <v>10</v>
      </c>
      <c r="D687" t="s">
        <v>16</v>
      </c>
      <c r="E687" t="s">
        <v>17</v>
      </c>
      <c r="F687" t="s">
        <v>13</v>
      </c>
      <c r="G687">
        <v>6</v>
      </c>
      <c r="H687">
        <v>1462</v>
      </c>
      <c r="I687" t="str">
        <f>VLOOKUP(D687,Product_Master!A:D,2,FALSE)</f>
        <v>Printer</v>
      </c>
      <c r="J687" t="str">
        <f>VLOOKUP(D687,Product_Master!A:D,3,FALSE)</f>
        <v>Electronics</v>
      </c>
      <c r="K687">
        <f>VLOOKUP(D687,Product_Master!A:D,4,FALSE)</f>
        <v>1100</v>
      </c>
      <c r="L687" t="str">
        <f>VLOOKUP(C687,Customer_Master!A:C,2,FALSE)</f>
        <v>Suresh</v>
      </c>
      <c r="M687" t="str">
        <f>VLOOKUP(C687,Customer_Master!A:C,3,FALSE)</f>
        <v>Consumer</v>
      </c>
      <c r="N687">
        <f>Table1[[#This Row],[Quantity]]*Table1[[#This Row],[Unit_Price]]</f>
        <v>8772</v>
      </c>
      <c r="O687">
        <f>(Table1[[#This Row],[Unit_Price]]-Table1[[#This Row],[Cost_Price]])*Table1[[#This Row],[Quantity]]</f>
        <v>2172</v>
      </c>
      <c r="P687">
        <f t="shared" si="10"/>
        <v>8772</v>
      </c>
      <c r="Q687" t="str">
        <f>TEXT(Table1[[#This Row],[Order_Date]],"mmm-yyyy")</f>
        <v>Feb-2024</v>
      </c>
    </row>
    <row r="688" spans="1:17" x14ac:dyDescent="0.35">
      <c r="A688" t="s">
        <v>1032</v>
      </c>
      <c r="B688" t="s">
        <v>1033</v>
      </c>
      <c r="C688" t="s">
        <v>21</v>
      </c>
      <c r="D688" t="s">
        <v>37</v>
      </c>
      <c r="E688" t="s">
        <v>27</v>
      </c>
      <c r="F688" t="s">
        <v>23</v>
      </c>
      <c r="G688">
        <v>6</v>
      </c>
      <c r="H688">
        <v>1029</v>
      </c>
      <c r="I688" t="str">
        <f>VLOOKUP(D688,Product_Master!A:D,2,FALSE)</f>
        <v>Mobile</v>
      </c>
      <c r="J688" t="str">
        <f>VLOOKUP(D688,Product_Master!A:D,3,FALSE)</f>
        <v>Electronics</v>
      </c>
      <c r="K688">
        <f>VLOOKUP(D688,Product_Master!A:D,4,FALSE)</f>
        <v>600</v>
      </c>
      <c r="L688" t="str">
        <f>VLOOKUP(C688,Customer_Master!A:C,2,FALSE)</f>
        <v>Reliance</v>
      </c>
      <c r="M688" t="str">
        <f>VLOOKUP(C688,Customer_Master!A:C,3,FALSE)</f>
        <v>Corporate</v>
      </c>
      <c r="N688">
        <f>Table1[[#This Row],[Quantity]]*Table1[[#This Row],[Unit_Price]]</f>
        <v>6174</v>
      </c>
      <c r="O688">
        <f>(Table1[[#This Row],[Unit_Price]]-Table1[[#This Row],[Cost_Price]])*Table1[[#This Row],[Quantity]]</f>
        <v>2574</v>
      </c>
      <c r="P688">
        <f t="shared" si="10"/>
        <v>6174</v>
      </c>
      <c r="Q688" t="str">
        <f>TEXT(Table1[[#This Row],[Order_Date]],"mmm-yyyy")</f>
        <v>Feb-2024</v>
      </c>
    </row>
    <row r="689" spans="1:17" x14ac:dyDescent="0.35">
      <c r="A689" t="s">
        <v>1034</v>
      </c>
      <c r="B689" t="s">
        <v>732</v>
      </c>
      <c r="C689" t="s">
        <v>21</v>
      </c>
      <c r="D689" t="s">
        <v>37</v>
      </c>
      <c r="E689" t="s">
        <v>27</v>
      </c>
      <c r="F689" t="s">
        <v>34</v>
      </c>
      <c r="G689">
        <v>4</v>
      </c>
      <c r="H689">
        <v>1428</v>
      </c>
      <c r="I689" t="str">
        <f>VLOOKUP(D689,Product_Master!A:D,2,FALSE)</f>
        <v>Mobile</v>
      </c>
      <c r="J689" t="str">
        <f>VLOOKUP(D689,Product_Master!A:D,3,FALSE)</f>
        <v>Electronics</v>
      </c>
      <c r="K689">
        <f>VLOOKUP(D689,Product_Master!A:D,4,FALSE)</f>
        <v>600</v>
      </c>
      <c r="L689" t="str">
        <f>VLOOKUP(C689,Customer_Master!A:C,2,FALSE)</f>
        <v>Reliance</v>
      </c>
      <c r="M689" t="str">
        <f>VLOOKUP(C689,Customer_Master!A:C,3,FALSE)</f>
        <v>Corporate</v>
      </c>
      <c r="N689">
        <f>Table1[[#This Row],[Quantity]]*Table1[[#This Row],[Unit_Price]]</f>
        <v>5712</v>
      </c>
      <c r="O689">
        <f>(Table1[[#This Row],[Unit_Price]]-Table1[[#This Row],[Cost_Price]])*Table1[[#This Row],[Quantity]]</f>
        <v>3312</v>
      </c>
      <c r="P689">
        <f t="shared" si="10"/>
        <v>5712</v>
      </c>
      <c r="Q689" t="str">
        <f>TEXT(Table1[[#This Row],[Order_Date]],"mmm-yyyy")</f>
        <v>Aug-2024</v>
      </c>
    </row>
    <row r="690" spans="1:17" x14ac:dyDescent="0.35">
      <c r="A690" t="s">
        <v>1035</v>
      </c>
      <c r="B690" t="s">
        <v>413</v>
      </c>
      <c r="C690" t="s">
        <v>10</v>
      </c>
      <c r="D690" t="s">
        <v>22</v>
      </c>
      <c r="E690" t="s">
        <v>12</v>
      </c>
      <c r="F690" t="s">
        <v>34</v>
      </c>
      <c r="G690">
        <v>6</v>
      </c>
      <c r="H690">
        <v>1296</v>
      </c>
      <c r="I690" t="str">
        <f>VLOOKUP(D690,Product_Master!A:D,2,FALSE)</f>
        <v>Desk</v>
      </c>
      <c r="J690" t="str">
        <f>VLOOKUP(D690,Product_Master!A:D,3,FALSE)</f>
        <v>Furniture</v>
      </c>
      <c r="K690">
        <f>VLOOKUP(D690,Product_Master!A:D,4,FALSE)</f>
        <v>300</v>
      </c>
      <c r="L690" t="str">
        <f>VLOOKUP(C690,Customer_Master!A:C,2,FALSE)</f>
        <v>Suresh</v>
      </c>
      <c r="M690" t="str">
        <f>VLOOKUP(C690,Customer_Master!A:C,3,FALSE)</f>
        <v>Consumer</v>
      </c>
      <c r="N690">
        <f>Table1[[#This Row],[Quantity]]*Table1[[#This Row],[Unit_Price]]</f>
        <v>7776</v>
      </c>
      <c r="O690">
        <f>(Table1[[#This Row],[Unit_Price]]-Table1[[#This Row],[Cost_Price]])*Table1[[#This Row],[Quantity]]</f>
        <v>5976</v>
      </c>
      <c r="P690">
        <f t="shared" si="10"/>
        <v>7776</v>
      </c>
      <c r="Q690" t="str">
        <f>TEXT(Table1[[#This Row],[Order_Date]],"mmm-yyyy")</f>
        <v>Feb-2024</v>
      </c>
    </row>
    <row r="691" spans="1:17" x14ac:dyDescent="0.35">
      <c r="A691" t="s">
        <v>1036</v>
      </c>
      <c r="B691" t="s">
        <v>331</v>
      </c>
      <c r="C691" t="s">
        <v>21</v>
      </c>
      <c r="D691" t="s">
        <v>16</v>
      </c>
      <c r="E691" t="s">
        <v>33</v>
      </c>
      <c r="F691" t="s">
        <v>23</v>
      </c>
      <c r="G691">
        <v>10</v>
      </c>
      <c r="H691">
        <v>1590</v>
      </c>
      <c r="I691" t="str">
        <f>VLOOKUP(D691,Product_Master!A:D,2,FALSE)</f>
        <v>Printer</v>
      </c>
      <c r="J691" t="str">
        <f>VLOOKUP(D691,Product_Master!A:D,3,FALSE)</f>
        <v>Electronics</v>
      </c>
      <c r="K691">
        <f>VLOOKUP(D691,Product_Master!A:D,4,FALSE)</f>
        <v>1100</v>
      </c>
      <c r="L691" t="str">
        <f>VLOOKUP(C691,Customer_Master!A:C,2,FALSE)</f>
        <v>Reliance</v>
      </c>
      <c r="M691" t="str">
        <f>VLOOKUP(C691,Customer_Master!A:C,3,FALSE)</f>
        <v>Corporate</v>
      </c>
      <c r="N691">
        <f>Table1[[#This Row],[Quantity]]*Table1[[#This Row],[Unit_Price]]</f>
        <v>15900</v>
      </c>
      <c r="O691">
        <f>(Table1[[#This Row],[Unit_Price]]-Table1[[#This Row],[Cost_Price]])*Table1[[#This Row],[Quantity]]</f>
        <v>4900</v>
      </c>
      <c r="P691">
        <f t="shared" si="10"/>
        <v>15900</v>
      </c>
      <c r="Q691" t="str">
        <f>TEXT(Table1[[#This Row],[Order_Date]],"mmm-yyyy")</f>
        <v>Oct-2024</v>
      </c>
    </row>
    <row r="692" spans="1:17" x14ac:dyDescent="0.35">
      <c r="A692" t="s">
        <v>1037</v>
      </c>
      <c r="B692" t="s">
        <v>1038</v>
      </c>
      <c r="C692" t="s">
        <v>30</v>
      </c>
      <c r="D692" t="s">
        <v>16</v>
      </c>
      <c r="E692" t="s">
        <v>33</v>
      </c>
      <c r="F692" t="s">
        <v>23</v>
      </c>
      <c r="G692">
        <v>4</v>
      </c>
      <c r="H692">
        <v>1585</v>
      </c>
      <c r="I692" t="str">
        <f>VLOOKUP(D692,Product_Master!A:D,2,FALSE)</f>
        <v>Printer</v>
      </c>
      <c r="J692" t="str">
        <f>VLOOKUP(D692,Product_Master!A:D,3,FALSE)</f>
        <v>Electronics</v>
      </c>
      <c r="K692">
        <f>VLOOKUP(D692,Product_Master!A:D,4,FALSE)</f>
        <v>1100</v>
      </c>
      <c r="L692" t="str">
        <f>VLOOKUP(C692,Customer_Master!A:C,2,FALSE)</f>
        <v>Infosys</v>
      </c>
      <c r="M692" t="str">
        <f>VLOOKUP(C692,Customer_Master!A:C,3,FALSE)</f>
        <v>Corporate</v>
      </c>
      <c r="N692">
        <f>Table1[[#This Row],[Quantity]]*Table1[[#This Row],[Unit_Price]]</f>
        <v>6340</v>
      </c>
      <c r="O692">
        <f>(Table1[[#This Row],[Unit_Price]]-Table1[[#This Row],[Cost_Price]])*Table1[[#This Row],[Quantity]]</f>
        <v>1940</v>
      </c>
      <c r="P692">
        <f t="shared" si="10"/>
        <v>6340</v>
      </c>
      <c r="Q692" t="str">
        <f>TEXT(Table1[[#This Row],[Order_Date]],"mmm-yyyy")</f>
        <v>Apr-2024</v>
      </c>
    </row>
    <row r="693" spans="1:17" x14ac:dyDescent="0.35">
      <c r="A693" t="s">
        <v>1039</v>
      </c>
      <c r="B693" t="s">
        <v>359</v>
      </c>
      <c r="C693" t="s">
        <v>45</v>
      </c>
      <c r="D693" t="s">
        <v>16</v>
      </c>
      <c r="E693" t="s">
        <v>12</v>
      </c>
      <c r="F693" t="s">
        <v>23</v>
      </c>
      <c r="G693">
        <v>1</v>
      </c>
      <c r="H693">
        <v>1865</v>
      </c>
      <c r="I693" t="str">
        <f>VLOOKUP(D693,Product_Master!A:D,2,FALSE)</f>
        <v>Printer</v>
      </c>
      <c r="J693" t="str">
        <f>VLOOKUP(D693,Product_Master!A:D,3,FALSE)</f>
        <v>Electronics</v>
      </c>
      <c r="K693">
        <f>VLOOKUP(D693,Product_Master!A:D,4,FALSE)</f>
        <v>1100</v>
      </c>
      <c r="L693" t="str">
        <f>VLOOKUP(C693,Customer_Master!A:C,2,FALSE)</f>
        <v>TCS</v>
      </c>
      <c r="M693" t="str">
        <f>VLOOKUP(C693,Customer_Master!A:C,3,FALSE)</f>
        <v>Corporate</v>
      </c>
      <c r="N693">
        <f>Table1[[#This Row],[Quantity]]*Table1[[#This Row],[Unit_Price]]</f>
        <v>1865</v>
      </c>
      <c r="O693">
        <f>(Table1[[#This Row],[Unit_Price]]-Table1[[#This Row],[Cost_Price]])*Table1[[#This Row],[Quantity]]</f>
        <v>765</v>
      </c>
      <c r="P693">
        <f t="shared" si="10"/>
        <v>1865</v>
      </c>
      <c r="Q693" t="str">
        <f>TEXT(Table1[[#This Row],[Order_Date]],"mmm-yyyy")</f>
        <v>Dec-2024</v>
      </c>
    </row>
    <row r="694" spans="1:17" x14ac:dyDescent="0.35">
      <c r="A694" t="s">
        <v>1040</v>
      </c>
      <c r="B694" t="s">
        <v>393</v>
      </c>
      <c r="C694" t="s">
        <v>30</v>
      </c>
      <c r="D694" t="s">
        <v>37</v>
      </c>
      <c r="E694" t="s">
        <v>12</v>
      </c>
      <c r="F694" t="s">
        <v>23</v>
      </c>
      <c r="G694">
        <v>1</v>
      </c>
      <c r="H694">
        <v>1748</v>
      </c>
      <c r="I694" t="str">
        <f>VLOOKUP(D694,Product_Master!A:D,2,FALSE)</f>
        <v>Mobile</v>
      </c>
      <c r="J694" t="str">
        <f>VLOOKUP(D694,Product_Master!A:D,3,FALSE)</f>
        <v>Electronics</v>
      </c>
      <c r="K694">
        <f>VLOOKUP(D694,Product_Master!A:D,4,FALSE)</f>
        <v>600</v>
      </c>
      <c r="L694" t="str">
        <f>VLOOKUP(C694,Customer_Master!A:C,2,FALSE)</f>
        <v>Infosys</v>
      </c>
      <c r="M694" t="str">
        <f>VLOOKUP(C694,Customer_Master!A:C,3,FALSE)</f>
        <v>Corporate</v>
      </c>
      <c r="N694">
        <f>Table1[[#This Row],[Quantity]]*Table1[[#This Row],[Unit_Price]]</f>
        <v>1748</v>
      </c>
      <c r="O694">
        <f>(Table1[[#This Row],[Unit_Price]]-Table1[[#This Row],[Cost_Price]])*Table1[[#This Row],[Quantity]]</f>
        <v>1148</v>
      </c>
      <c r="P694">
        <f t="shared" si="10"/>
        <v>1748</v>
      </c>
      <c r="Q694" t="str">
        <f>TEXT(Table1[[#This Row],[Order_Date]],"mmm-yyyy")</f>
        <v>Jan-2024</v>
      </c>
    </row>
    <row r="695" spans="1:17" x14ac:dyDescent="0.35">
      <c r="A695" t="s">
        <v>1041</v>
      </c>
      <c r="B695" t="s">
        <v>102</v>
      </c>
      <c r="C695" t="s">
        <v>42</v>
      </c>
      <c r="D695" t="s">
        <v>22</v>
      </c>
      <c r="E695" t="s">
        <v>33</v>
      </c>
      <c r="F695" t="s">
        <v>18</v>
      </c>
      <c r="G695">
        <v>2</v>
      </c>
      <c r="H695">
        <v>1009</v>
      </c>
      <c r="I695" t="str">
        <f>VLOOKUP(D695,Product_Master!A:D,2,FALSE)</f>
        <v>Desk</v>
      </c>
      <c r="J695" t="str">
        <f>VLOOKUP(D695,Product_Master!A:D,3,FALSE)</f>
        <v>Furniture</v>
      </c>
      <c r="K695">
        <f>VLOOKUP(D695,Product_Master!A:D,4,FALSE)</f>
        <v>300</v>
      </c>
      <c r="L695" t="str">
        <f>VLOOKUP(C695,Customer_Master!A:C,2,FALSE)</f>
        <v>Ramesh</v>
      </c>
      <c r="M695" t="str">
        <f>VLOOKUP(C695,Customer_Master!A:C,3,FALSE)</f>
        <v>Consumer</v>
      </c>
      <c r="N695">
        <f>Table1[[#This Row],[Quantity]]*Table1[[#This Row],[Unit_Price]]</f>
        <v>2018</v>
      </c>
      <c r="O695">
        <f>(Table1[[#This Row],[Unit_Price]]-Table1[[#This Row],[Cost_Price]])*Table1[[#This Row],[Quantity]]</f>
        <v>1418</v>
      </c>
      <c r="P695">
        <f t="shared" si="10"/>
        <v>2018</v>
      </c>
      <c r="Q695" t="str">
        <f>TEXT(Table1[[#This Row],[Order_Date]],"mmm-yyyy")</f>
        <v>May-2024</v>
      </c>
    </row>
    <row r="696" spans="1:17" x14ac:dyDescent="0.35">
      <c r="A696" t="s">
        <v>1042</v>
      </c>
      <c r="B696" t="s">
        <v>36</v>
      </c>
      <c r="C696" t="s">
        <v>30</v>
      </c>
      <c r="D696" t="s">
        <v>16</v>
      </c>
      <c r="E696" t="s">
        <v>27</v>
      </c>
      <c r="F696" t="s">
        <v>13</v>
      </c>
      <c r="G696">
        <v>7</v>
      </c>
      <c r="H696">
        <v>1919</v>
      </c>
      <c r="I696" t="str">
        <f>VLOOKUP(D696,Product_Master!A:D,2,FALSE)</f>
        <v>Printer</v>
      </c>
      <c r="J696" t="str">
        <f>VLOOKUP(D696,Product_Master!A:D,3,FALSE)</f>
        <v>Electronics</v>
      </c>
      <c r="K696">
        <f>VLOOKUP(D696,Product_Master!A:D,4,FALSE)</f>
        <v>1100</v>
      </c>
      <c r="L696" t="str">
        <f>VLOOKUP(C696,Customer_Master!A:C,2,FALSE)</f>
        <v>Infosys</v>
      </c>
      <c r="M696" t="str">
        <f>VLOOKUP(C696,Customer_Master!A:C,3,FALSE)</f>
        <v>Corporate</v>
      </c>
      <c r="N696">
        <f>Table1[[#This Row],[Quantity]]*Table1[[#This Row],[Unit_Price]]</f>
        <v>13433</v>
      </c>
      <c r="O696">
        <f>(Table1[[#This Row],[Unit_Price]]-Table1[[#This Row],[Cost_Price]])*Table1[[#This Row],[Quantity]]</f>
        <v>5733</v>
      </c>
      <c r="P696">
        <f t="shared" si="10"/>
        <v>13433</v>
      </c>
      <c r="Q696" t="str">
        <f>TEXT(Table1[[#This Row],[Order_Date]],"mmm-yyyy")</f>
        <v>Nov-2024</v>
      </c>
    </row>
    <row r="697" spans="1:17" x14ac:dyDescent="0.35">
      <c r="A697" t="s">
        <v>1043</v>
      </c>
      <c r="B697" t="s">
        <v>167</v>
      </c>
      <c r="C697" t="s">
        <v>42</v>
      </c>
      <c r="D697" t="s">
        <v>11</v>
      </c>
      <c r="E697" t="s">
        <v>33</v>
      </c>
      <c r="F697" t="s">
        <v>13</v>
      </c>
      <c r="G697">
        <v>4</v>
      </c>
      <c r="H697">
        <v>1910</v>
      </c>
      <c r="I697" t="str">
        <f>VLOOKUP(D697,Product_Master!A:D,2,FALSE)</f>
        <v>Chair</v>
      </c>
      <c r="J697" t="str">
        <f>VLOOKUP(D697,Product_Master!A:D,3,FALSE)</f>
        <v>Furniture</v>
      </c>
      <c r="K697">
        <f>VLOOKUP(D697,Product_Master!A:D,4,FALSE)</f>
        <v>150</v>
      </c>
      <c r="L697" t="str">
        <f>VLOOKUP(C697,Customer_Master!A:C,2,FALSE)</f>
        <v>Ramesh</v>
      </c>
      <c r="M697" t="str">
        <f>VLOOKUP(C697,Customer_Master!A:C,3,FALSE)</f>
        <v>Consumer</v>
      </c>
      <c r="N697">
        <f>Table1[[#This Row],[Quantity]]*Table1[[#This Row],[Unit_Price]]</f>
        <v>7640</v>
      </c>
      <c r="O697">
        <f>(Table1[[#This Row],[Unit_Price]]-Table1[[#This Row],[Cost_Price]])*Table1[[#This Row],[Quantity]]</f>
        <v>7040</v>
      </c>
      <c r="P697">
        <f t="shared" si="10"/>
        <v>7640</v>
      </c>
      <c r="Q697" t="str">
        <f>TEXT(Table1[[#This Row],[Order_Date]],"mmm-yyyy")</f>
        <v>Sep-2024</v>
      </c>
    </row>
    <row r="698" spans="1:17" x14ac:dyDescent="0.35">
      <c r="A698" t="s">
        <v>1044</v>
      </c>
      <c r="B698" t="s">
        <v>1045</v>
      </c>
      <c r="C698" t="s">
        <v>10</v>
      </c>
      <c r="D698" t="s">
        <v>26</v>
      </c>
      <c r="E698" t="s">
        <v>33</v>
      </c>
      <c r="F698" t="s">
        <v>23</v>
      </c>
      <c r="G698">
        <v>7</v>
      </c>
      <c r="H698">
        <v>1473</v>
      </c>
      <c r="I698" t="str">
        <f>VLOOKUP(D698,Product_Master!A:D,2,FALSE)</f>
        <v>Laptop</v>
      </c>
      <c r="J698" t="str">
        <f>VLOOKUP(D698,Product_Master!A:D,3,FALSE)</f>
        <v>Electronics</v>
      </c>
      <c r="K698">
        <f>VLOOKUP(D698,Product_Master!A:D,4,FALSE)</f>
        <v>900</v>
      </c>
      <c r="L698" t="str">
        <f>VLOOKUP(C698,Customer_Master!A:C,2,FALSE)</f>
        <v>Suresh</v>
      </c>
      <c r="M698" t="str">
        <f>VLOOKUP(C698,Customer_Master!A:C,3,FALSE)</f>
        <v>Consumer</v>
      </c>
      <c r="N698">
        <f>Table1[[#This Row],[Quantity]]*Table1[[#This Row],[Unit_Price]]</f>
        <v>10311</v>
      </c>
      <c r="O698">
        <f>(Table1[[#This Row],[Unit_Price]]-Table1[[#This Row],[Cost_Price]])*Table1[[#This Row],[Quantity]]</f>
        <v>4011</v>
      </c>
      <c r="P698">
        <f t="shared" si="10"/>
        <v>10311</v>
      </c>
      <c r="Q698" t="str">
        <f>TEXT(Table1[[#This Row],[Order_Date]],"mmm-yyyy")</f>
        <v>Jan-2024</v>
      </c>
    </row>
    <row r="699" spans="1:17" x14ac:dyDescent="0.35">
      <c r="A699" t="s">
        <v>1046</v>
      </c>
      <c r="B699" t="s">
        <v>484</v>
      </c>
      <c r="C699" t="s">
        <v>10</v>
      </c>
      <c r="D699" t="s">
        <v>26</v>
      </c>
      <c r="E699" t="s">
        <v>27</v>
      </c>
      <c r="F699" t="s">
        <v>18</v>
      </c>
      <c r="G699">
        <v>3</v>
      </c>
      <c r="H699">
        <v>1477</v>
      </c>
      <c r="I699" t="str">
        <f>VLOOKUP(D699,Product_Master!A:D,2,FALSE)</f>
        <v>Laptop</v>
      </c>
      <c r="J699" t="str">
        <f>VLOOKUP(D699,Product_Master!A:D,3,FALSE)</f>
        <v>Electronics</v>
      </c>
      <c r="K699">
        <f>VLOOKUP(D699,Product_Master!A:D,4,FALSE)</f>
        <v>900</v>
      </c>
      <c r="L699" t="str">
        <f>VLOOKUP(C699,Customer_Master!A:C,2,FALSE)</f>
        <v>Suresh</v>
      </c>
      <c r="M699" t="str">
        <f>VLOOKUP(C699,Customer_Master!A:C,3,FALSE)</f>
        <v>Consumer</v>
      </c>
      <c r="N699">
        <f>Table1[[#This Row],[Quantity]]*Table1[[#This Row],[Unit_Price]]</f>
        <v>4431</v>
      </c>
      <c r="O699">
        <f>(Table1[[#This Row],[Unit_Price]]-Table1[[#This Row],[Cost_Price]])*Table1[[#This Row],[Quantity]]</f>
        <v>1731</v>
      </c>
      <c r="P699">
        <f t="shared" si="10"/>
        <v>4431</v>
      </c>
      <c r="Q699" t="str">
        <f>TEXT(Table1[[#This Row],[Order_Date]],"mmm-yyyy")</f>
        <v>Jul-2024</v>
      </c>
    </row>
    <row r="700" spans="1:17" x14ac:dyDescent="0.35">
      <c r="A700" t="s">
        <v>1047</v>
      </c>
      <c r="B700" t="s">
        <v>102</v>
      </c>
      <c r="C700" t="s">
        <v>30</v>
      </c>
      <c r="D700" t="s">
        <v>22</v>
      </c>
      <c r="E700" t="s">
        <v>17</v>
      </c>
      <c r="F700" t="s">
        <v>18</v>
      </c>
      <c r="G700">
        <v>4</v>
      </c>
      <c r="H700">
        <v>1571</v>
      </c>
      <c r="I700" t="str">
        <f>VLOOKUP(D700,Product_Master!A:D,2,FALSE)</f>
        <v>Desk</v>
      </c>
      <c r="J700" t="str">
        <f>VLOOKUP(D700,Product_Master!A:D,3,FALSE)</f>
        <v>Furniture</v>
      </c>
      <c r="K700">
        <f>VLOOKUP(D700,Product_Master!A:D,4,FALSE)</f>
        <v>300</v>
      </c>
      <c r="L700" t="str">
        <f>VLOOKUP(C700,Customer_Master!A:C,2,FALSE)</f>
        <v>Infosys</v>
      </c>
      <c r="M700" t="str">
        <f>VLOOKUP(C700,Customer_Master!A:C,3,FALSE)</f>
        <v>Corporate</v>
      </c>
      <c r="N700">
        <f>Table1[[#This Row],[Quantity]]*Table1[[#This Row],[Unit_Price]]</f>
        <v>6284</v>
      </c>
      <c r="O700">
        <f>(Table1[[#This Row],[Unit_Price]]-Table1[[#This Row],[Cost_Price]])*Table1[[#This Row],[Quantity]]</f>
        <v>5084</v>
      </c>
      <c r="P700">
        <f t="shared" si="10"/>
        <v>6284</v>
      </c>
      <c r="Q700" t="str">
        <f>TEXT(Table1[[#This Row],[Order_Date]],"mmm-yyyy")</f>
        <v>May-2024</v>
      </c>
    </row>
    <row r="701" spans="1:17" x14ac:dyDescent="0.35">
      <c r="A701" t="s">
        <v>1048</v>
      </c>
      <c r="B701" t="s">
        <v>794</v>
      </c>
      <c r="C701" t="s">
        <v>10</v>
      </c>
      <c r="D701" t="s">
        <v>26</v>
      </c>
      <c r="E701" t="s">
        <v>33</v>
      </c>
      <c r="F701" t="s">
        <v>23</v>
      </c>
      <c r="G701">
        <v>6</v>
      </c>
      <c r="H701">
        <v>1253</v>
      </c>
      <c r="I701" t="str">
        <f>VLOOKUP(D701,Product_Master!A:D,2,FALSE)</f>
        <v>Laptop</v>
      </c>
      <c r="J701" t="str">
        <f>VLOOKUP(D701,Product_Master!A:D,3,FALSE)</f>
        <v>Electronics</v>
      </c>
      <c r="K701">
        <f>VLOOKUP(D701,Product_Master!A:D,4,FALSE)</f>
        <v>900</v>
      </c>
      <c r="L701" t="str">
        <f>VLOOKUP(C701,Customer_Master!A:C,2,FALSE)</f>
        <v>Suresh</v>
      </c>
      <c r="M701" t="str">
        <f>VLOOKUP(C701,Customer_Master!A:C,3,FALSE)</f>
        <v>Consumer</v>
      </c>
      <c r="N701">
        <f>Table1[[#This Row],[Quantity]]*Table1[[#This Row],[Unit_Price]]</f>
        <v>7518</v>
      </c>
      <c r="O701">
        <f>(Table1[[#This Row],[Unit_Price]]-Table1[[#This Row],[Cost_Price]])*Table1[[#This Row],[Quantity]]</f>
        <v>2118</v>
      </c>
      <c r="P701">
        <f t="shared" si="10"/>
        <v>7518</v>
      </c>
      <c r="Q701" t="str">
        <f>TEXT(Table1[[#This Row],[Order_Date]],"mmm-yyyy")</f>
        <v>Jun-2024</v>
      </c>
    </row>
    <row r="702" spans="1:17" x14ac:dyDescent="0.35">
      <c r="A702" t="s">
        <v>1049</v>
      </c>
      <c r="B702" t="s">
        <v>1050</v>
      </c>
      <c r="C702" t="s">
        <v>10</v>
      </c>
      <c r="D702" t="s">
        <v>22</v>
      </c>
      <c r="E702" t="s">
        <v>27</v>
      </c>
      <c r="F702" t="s">
        <v>13</v>
      </c>
      <c r="G702">
        <v>5</v>
      </c>
      <c r="H702">
        <v>1054</v>
      </c>
      <c r="I702" t="str">
        <f>VLOOKUP(D702,Product_Master!A:D,2,FALSE)</f>
        <v>Desk</v>
      </c>
      <c r="J702" t="str">
        <f>VLOOKUP(D702,Product_Master!A:D,3,FALSE)</f>
        <v>Furniture</v>
      </c>
      <c r="K702">
        <f>VLOOKUP(D702,Product_Master!A:D,4,FALSE)</f>
        <v>300</v>
      </c>
      <c r="L702" t="str">
        <f>VLOOKUP(C702,Customer_Master!A:C,2,FALSE)</f>
        <v>Suresh</v>
      </c>
      <c r="M702" t="str">
        <f>VLOOKUP(C702,Customer_Master!A:C,3,FALSE)</f>
        <v>Consumer</v>
      </c>
      <c r="N702">
        <f>Table1[[#This Row],[Quantity]]*Table1[[#This Row],[Unit_Price]]</f>
        <v>5270</v>
      </c>
      <c r="O702">
        <f>(Table1[[#This Row],[Unit_Price]]-Table1[[#This Row],[Cost_Price]])*Table1[[#This Row],[Quantity]]</f>
        <v>3770</v>
      </c>
      <c r="P702">
        <f t="shared" si="10"/>
        <v>5270</v>
      </c>
      <c r="Q702" t="str">
        <f>TEXT(Table1[[#This Row],[Order_Date]],"mmm-yyyy")</f>
        <v>Feb-2024</v>
      </c>
    </row>
    <row r="703" spans="1:17" x14ac:dyDescent="0.35">
      <c r="A703" t="s">
        <v>1051</v>
      </c>
      <c r="B703" t="s">
        <v>1052</v>
      </c>
      <c r="C703" t="s">
        <v>30</v>
      </c>
      <c r="D703" t="s">
        <v>16</v>
      </c>
      <c r="E703" t="s">
        <v>27</v>
      </c>
      <c r="F703" t="s">
        <v>23</v>
      </c>
      <c r="G703">
        <v>4</v>
      </c>
      <c r="H703">
        <v>1299</v>
      </c>
      <c r="I703" t="str">
        <f>VLOOKUP(D703,Product_Master!A:D,2,FALSE)</f>
        <v>Printer</v>
      </c>
      <c r="J703" t="str">
        <f>VLOOKUP(D703,Product_Master!A:D,3,FALSE)</f>
        <v>Electronics</v>
      </c>
      <c r="K703">
        <f>VLOOKUP(D703,Product_Master!A:D,4,FALSE)</f>
        <v>1100</v>
      </c>
      <c r="L703" t="str">
        <f>VLOOKUP(C703,Customer_Master!A:C,2,FALSE)</f>
        <v>Infosys</v>
      </c>
      <c r="M703" t="str">
        <f>VLOOKUP(C703,Customer_Master!A:C,3,FALSE)</f>
        <v>Corporate</v>
      </c>
      <c r="N703">
        <f>Table1[[#This Row],[Quantity]]*Table1[[#This Row],[Unit_Price]]</f>
        <v>5196</v>
      </c>
      <c r="O703">
        <f>(Table1[[#This Row],[Unit_Price]]-Table1[[#This Row],[Cost_Price]])*Table1[[#This Row],[Quantity]]</f>
        <v>796</v>
      </c>
      <c r="P703">
        <f t="shared" si="10"/>
        <v>5196</v>
      </c>
      <c r="Q703" t="str">
        <f>TEXT(Table1[[#This Row],[Order_Date]],"mmm-yyyy")</f>
        <v>Jul-2024</v>
      </c>
    </row>
    <row r="704" spans="1:17" x14ac:dyDescent="0.35">
      <c r="A704" t="s">
        <v>1053</v>
      </c>
      <c r="B704" t="s">
        <v>585</v>
      </c>
      <c r="C704" t="s">
        <v>30</v>
      </c>
      <c r="D704" t="s">
        <v>16</v>
      </c>
      <c r="E704" t="s">
        <v>27</v>
      </c>
      <c r="F704" t="s">
        <v>34</v>
      </c>
      <c r="G704">
        <v>8</v>
      </c>
      <c r="H704">
        <v>1401</v>
      </c>
      <c r="I704" t="str">
        <f>VLOOKUP(D704,Product_Master!A:D,2,FALSE)</f>
        <v>Printer</v>
      </c>
      <c r="J704" t="str">
        <f>VLOOKUP(D704,Product_Master!A:D,3,FALSE)</f>
        <v>Electronics</v>
      </c>
      <c r="K704">
        <f>VLOOKUP(D704,Product_Master!A:D,4,FALSE)</f>
        <v>1100</v>
      </c>
      <c r="L704" t="str">
        <f>VLOOKUP(C704,Customer_Master!A:C,2,FALSE)</f>
        <v>Infosys</v>
      </c>
      <c r="M704" t="str">
        <f>VLOOKUP(C704,Customer_Master!A:C,3,FALSE)</f>
        <v>Corporate</v>
      </c>
      <c r="N704">
        <f>Table1[[#This Row],[Quantity]]*Table1[[#This Row],[Unit_Price]]</f>
        <v>11208</v>
      </c>
      <c r="O704">
        <f>(Table1[[#This Row],[Unit_Price]]-Table1[[#This Row],[Cost_Price]])*Table1[[#This Row],[Quantity]]</f>
        <v>2408</v>
      </c>
      <c r="P704">
        <f t="shared" si="10"/>
        <v>11208</v>
      </c>
      <c r="Q704" t="str">
        <f>TEXT(Table1[[#This Row],[Order_Date]],"mmm-yyyy")</f>
        <v>Oct-2024</v>
      </c>
    </row>
    <row r="705" spans="1:17" x14ac:dyDescent="0.35">
      <c r="A705" t="s">
        <v>1054</v>
      </c>
      <c r="B705" t="s">
        <v>96</v>
      </c>
      <c r="C705" t="s">
        <v>10</v>
      </c>
      <c r="D705" t="s">
        <v>16</v>
      </c>
      <c r="E705" t="s">
        <v>17</v>
      </c>
      <c r="F705" t="s">
        <v>23</v>
      </c>
      <c r="G705">
        <v>2</v>
      </c>
      <c r="H705">
        <v>1504</v>
      </c>
      <c r="I705" t="str">
        <f>VLOOKUP(D705,Product_Master!A:D,2,FALSE)</f>
        <v>Printer</v>
      </c>
      <c r="J705" t="str">
        <f>VLOOKUP(D705,Product_Master!A:D,3,FALSE)</f>
        <v>Electronics</v>
      </c>
      <c r="K705">
        <f>VLOOKUP(D705,Product_Master!A:D,4,FALSE)</f>
        <v>1100</v>
      </c>
      <c r="L705" t="str">
        <f>VLOOKUP(C705,Customer_Master!A:C,2,FALSE)</f>
        <v>Suresh</v>
      </c>
      <c r="M705" t="str">
        <f>VLOOKUP(C705,Customer_Master!A:C,3,FALSE)</f>
        <v>Consumer</v>
      </c>
      <c r="N705">
        <f>Table1[[#This Row],[Quantity]]*Table1[[#This Row],[Unit_Price]]</f>
        <v>3008</v>
      </c>
      <c r="O705">
        <f>(Table1[[#This Row],[Unit_Price]]-Table1[[#This Row],[Cost_Price]])*Table1[[#This Row],[Quantity]]</f>
        <v>808</v>
      </c>
      <c r="P705">
        <f t="shared" si="10"/>
        <v>3008</v>
      </c>
      <c r="Q705" t="str">
        <f>TEXT(Table1[[#This Row],[Order_Date]],"mmm-yyyy")</f>
        <v>Jan-2024</v>
      </c>
    </row>
    <row r="706" spans="1:17" x14ac:dyDescent="0.35">
      <c r="A706" t="s">
        <v>1055</v>
      </c>
      <c r="B706" t="s">
        <v>269</v>
      </c>
      <c r="C706" t="s">
        <v>10</v>
      </c>
      <c r="D706" t="s">
        <v>37</v>
      </c>
      <c r="E706" t="s">
        <v>17</v>
      </c>
      <c r="F706" t="s">
        <v>23</v>
      </c>
      <c r="G706">
        <v>7</v>
      </c>
      <c r="H706">
        <v>1431</v>
      </c>
      <c r="I706" t="str">
        <f>VLOOKUP(D706,Product_Master!A:D,2,FALSE)</f>
        <v>Mobile</v>
      </c>
      <c r="J706" t="str">
        <f>VLOOKUP(D706,Product_Master!A:D,3,FALSE)</f>
        <v>Electronics</v>
      </c>
      <c r="K706">
        <f>VLOOKUP(D706,Product_Master!A:D,4,FALSE)</f>
        <v>600</v>
      </c>
      <c r="L706" t="str">
        <f>VLOOKUP(C706,Customer_Master!A:C,2,FALSE)</f>
        <v>Suresh</v>
      </c>
      <c r="M706" t="str">
        <f>VLOOKUP(C706,Customer_Master!A:C,3,FALSE)</f>
        <v>Consumer</v>
      </c>
      <c r="N706">
        <f>Table1[[#This Row],[Quantity]]*Table1[[#This Row],[Unit_Price]]</f>
        <v>10017</v>
      </c>
      <c r="O706">
        <f>(Table1[[#This Row],[Unit_Price]]-Table1[[#This Row],[Cost_Price]])*Table1[[#This Row],[Quantity]]</f>
        <v>5817</v>
      </c>
      <c r="P706">
        <f t="shared" ref="P706:P769" si="11">VALUE(N706)</f>
        <v>10017</v>
      </c>
      <c r="Q706" t="str">
        <f>TEXT(Table1[[#This Row],[Order_Date]],"mmm-yyyy")</f>
        <v>Apr-2024</v>
      </c>
    </row>
    <row r="707" spans="1:17" x14ac:dyDescent="0.35">
      <c r="A707" t="s">
        <v>1056</v>
      </c>
      <c r="B707" t="s">
        <v>395</v>
      </c>
      <c r="C707" t="s">
        <v>45</v>
      </c>
      <c r="D707" t="s">
        <v>16</v>
      </c>
      <c r="E707" t="s">
        <v>12</v>
      </c>
      <c r="F707" t="s">
        <v>13</v>
      </c>
      <c r="G707">
        <v>1</v>
      </c>
      <c r="H707">
        <v>1116</v>
      </c>
      <c r="I707" t="str">
        <f>VLOOKUP(D707,Product_Master!A:D,2,FALSE)</f>
        <v>Printer</v>
      </c>
      <c r="J707" t="str">
        <f>VLOOKUP(D707,Product_Master!A:D,3,FALSE)</f>
        <v>Electronics</v>
      </c>
      <c r="K707">
        <f>VLOOKUP(D707,Product_Master!A:D,4,FALSE)</f>
        <v>1100</v>
      </c>
      <c r="L707" t="str">
        <f>VLOOKUP(C707,Customer_Master!A:C,2,FALSE)</f>
        <v>TCS</v>
      </c>
      <c r="M707" t="str">
        <f>VLOOKUP(C707,Customer_Master!A:C,3,FALSE)</f>
        <v>Corporate</v>
      </c>
      <c r="N707">
        <f>Table1[[#This Row],[Quantity]]*Table1[[#This Row],[Unit_Price]]</f>
        <v>1116</v>
      </c>
      <c r="O707">
        <f>(Table1[[#This Row],[Unit_Price]]-Table1[[#This Row],[Cost_Price]])*Table1[[#This Row],[Quantity]]</f>
        <v>16</v>
      </c>
      <c r="P707">
        <f t="shared" si="11"/>
        <v>1116</v>
      </c>
      <c r="Q707" t="str">
        <f>TEXT(Table1[[#This Row],[Order_Date]],"mmm-yyyy")</f>
        <v>Jan-2024</v>
      </c>
    </row>
    <row r="708" spans="1:17" x14ac:dyDescent="0.35">
      <c r="A708" t="s">
        <v>1057</v>
      </c>
      <c r="B708" t="s">
        <v>378</v>
      </c>
      <c r="C708" t="s">
        <v>10</v>
      </c>
      <c r="D708" t="s">
        <v>26</v>
      </c>
      <c r="E708" t="s">
        <v>17</v>
      </c>
      <c r="F708" t="s">
        <v>13</v>
      </c>
      <c r="G708">
        <v>6</v>
      </c>
      <c r="H708">
        <v>1747</v>
      </c>
      <c r="I708" t="str">
        <f>VLOOKUP(D708,Product_Master!A:D,2,FALSE)</f>
        <v>Laptop</v>
      </c>
      <c r="J708" t="str">
        <f>VLOOKUP(D708,Product_Master!A:D,3,FALSE)</f>
        <v>Electronics</v>
      </c>
      <c r="K708">
        <f>VLOOKUP(D708,Product_Master!A:D,4,FALSE)</f>
        <v>900</v>
      </c>
      <c r="L708" t="str">
        <f>VLOOKUP(C708,Customer_Master!A:C,2,FALSE)</f>
        <v>Suresh</v>
      </c>
      <c r="M708" t="str">
        <f>VLOOKUP(C708,Customer_Master!A:C,3,FALSE)</f>
        <v>Consumer</v>
      </c>
      <c r="N708">
        <f>Table1[[#This Row],[Quantity]]*Table1[[#This Row],[Unit_Price]]</f>
        <v>10482</v>
      </c>
      <c r="O708">
        <f>(Table1[[#This Row],[Unit_Price]]-Table1[[#This Row],[Cost_Price]])*Table1[[#This Row],[Quantity]]</f>
        <v>5082</v>
      </c>
      <c r="P708">
        <f t="shared" si="11"/>
        <v>10482</v>
      </c>
      <c r="Q708" t="str">
        <f>TEXT(Table1[[#This Row],[Order_Date]],"mmm-yyyy")</f>
        <v>Feb-2024</v>
      </c>
    </row>
    <row r="709" spans="1:17" x14ac:dyDescent="0.35">
      <c r="A709" t="s">
        <v>1058</v>
      </c>
      <c r="B709" t="s">
        <v>96</v>
      </c>
      <c r="C709" t="s">
        <v>21</v>
      </c>
      <c r="D709" t="s">
        <v>11</v>
      </c>
      <c r="E709" t="s">
        <v>33</v>
      </c>
      <c r="F709" t="s">
        <v>23</v>
      </c>
      <c r="G709">
        <v>5</v>
      </c>
      <c r="H709">
        <v>1983</v>
      </c>
      <c r="I709" t="str">
        <f>VLOOKUP(D709,Product_Master!A:D,2,FALSE)</f>
        <v>Chair</v>
      </c>
      <c r="J709" t="str">
        <f>VLOOKUP(D709,Product_Master!A:D,3,FALSE)</f>
        <v>Furniture</v>
      </c>
      <c r="K709">
        <f>VLOOKUP(D709,Product_Master!A:D,4,FALSE)</f>
        <v>150</v>
      </c>
      <c r="L709" t="str">
        <f>VLOOKUP(C709,Customer_Master!A:C,2,FALSE)</f>
        <v>Reliance</v>
      </c>
      <c r="M709" t="str">
        <f>VLOOKUP(C709,Customer_Master!A:C,3,FALSE)</f>
        <v>Corporate</v>
      </c>
      <c r="N709">
        <f>Table1[[#This Row],[Quantity]]*Table1[[#This Row],[Unit_Price]]</f>
        <v>9915</v>
      </c>
      <c r="O709">
        <f>(Table1[[#This Row],[Unit_Price]]-Table1[[#This Row],[Cost_Price]])*Table1[[#This Row],[Quantity]]</f>
        <v>9165</v>
      </c>
      <c r="P709">
        <f t="shared" si="11"/>
        <v>9915</v>
      </c>
      <c r="Q709" t="str">
        <f>TEXT(Table1[[#This Row],[Order_Date]],"mmm-yyyy")</f>
        <v>Jan-2024</v>
      </c>
    </row>
    <row r="710" spans="1:17" x14ac:dyDescent="0.35">
      <c r="A710" t="s">
        <v>1059</v>
      </c>
      <c r="B710" t="s">
        <v>413</v>
      </c>
      <c r="C710" t="s">
        <v>21</v>
      </c>
      <c r="D710" t="s">
        <v>11</v>
      </c>
      <c r="E710" t="s">
        <v>17</v>
      </c>
      <c r="F710" t="s">
        <v>18</v>
      </c>
      <c r="G710">
        <v>1</v>
      </c>
      <c r="H710">
        <v>1518</v>
      </c>
      <c r="I710" t="str">
        <f>VLOOKUP(D710,Product_Master!A:D,2,FALSE)</f>
        <v>Chair</v>
      </c>
      <c r="J710" t="str">
        <f>VLOOKUP(D710,Product_Master!A:D,3,FALSE)</f>
        <v>Furniture</v>
      </c>
      <c r="K710">
        <f>VLOOKUP(D710,Product_Master!A:D,4,FALSE)</f>
        <v>150</v>
      </c>
      <c r="L710" t="str">
        <f>VLOOKUP(C710,Customer_Master!A:C,2,FALSE)</f>
        <v>Reliance</v>
      </c>
      <c r="M710" t="str">
        <f>VLOOKUP(C710,Customer_Master!A:C,3,FALSE)</f>
        <v>Corporate</v>
      </c>
      <c r="N710">
        <f>Table1[[#This Row],[Quantity]]*Table1[[#This Row],[Unit_Price]]</f>
        <v>1518</v>
      </c>
      <c r="O710">
        <f>(Table1[[#This Row],[Unit_Price]]-Table1[[#This Row],[Cost_Price]])*Table1[[#This Row],[Quantity]]</f>
        <v>1368</v>
      </c>
      <c r="P710">
        <f t="shared" si="11"/>
        <v>1518</v>
      </c>
      <c r="Q710" t="str">
        <f>TEXT(Table1[[#This Row],[Order_Date]],"mmm-yyyy")</f>
        <v>Feb-2024</v>
      </c>
    </row>
    <row r="711" spans="1:17" x14ac:dyDescent="0.35">
      <c r="A711" t="s">
        <v>1060</v>
      </c>
      <c r="B711" t="s">
        <v>132</v>
      </c>
      <c r="C711" t="s">
        <v>30</v>
      </c>
      <c r="D711" t="s">
        <v>11</v>
      </c>
      <c r="E711" t="s">
        <v>12</v>
      </c>
      <c r="F711" t="s">
        <v>23</v>
      </c>
      <c r="G711">
        <v>10</v>
      </c>
      <c r="H711">
        <v>918</v>
      </c>
      <c r="I711" t="str">
        <f>VLOOKUP(D711,Product_Master!A:D,2,FALSE)</f>
        <v>Chair</v>
      </c>
      <c r="J711" t="str">
        <f>VLOOKUP(D711,Product_Master!A:D,3,FALSE)</f>
        <v>Furniture</v>
      </c>
      <c r="K711">
        <f>VLOOKUP(D711,Product_Master!A:D,4,FALSE)</f>
        <v>150</v>
      </c>
      <c r="L711" t="str">
        <f>VLOOKUP(C711,Customer_Master!A:C,2,FALSE)</f>
        <v>Infosys</v>
      </c>
      <c r="M711" t="str">
        <f>VLOOKUP(C711,Customer_Master!A:C,3,FALSE)</f>
        <v>Corporate</v>
      </c>
      <c r="N711">
        <f>Table1[[#This Row],[Quantity]]*Table1[[#This Row],[Unit_Price]]</f>
        <v>9180</v>
      </c>
      <c r="O711">
        <f>(Table1[[#This Row],[Unit_Price]]-Table1[[#This Row],[Cost_Price]])*Table1[[#This Row],[Quantity]]</f>
        <v>7680</v>
      </c>
      <c r="P711">
        <f t="shared" si="11"/>
        <v>9180</v>
      </c>
      <c r="Q711" t="str">
        <f>TEXT(Table1[[#This Row],[Order_Date]],"mmm-yyyy")</f>
        <v>May-2024</v>
      </c>
    </row>
    <row r="712" spans="1:17" x14ac:dyDescent="0.35">
      <c r="A712" t="s">
        <v>1061</v>
      </c>
      <c r="B712" t="s">
        <v>1062</v>
      </c>
      <c r="C712" t="s">
        <v>45</v>
      </c>
      <c r="D712" t="s">
        <v>11</v>
      </c>
      <c r="E712" t="s">
        <v>27</v>
      </c>
      <c r="F712" t="s">
        <v>23</v>
      </c>
      <c r="G712">
        <v>2</v>
      </c>
      <c r="H712">
        <v>1877</v>
      </c>
      <c r="I712" t="str">
        <f>VLOOKUP(D712,Product_Master!A:D,2,FALSE)</f>
        <v>Chair</v>
      </c>
      <c r="J712" t="str">
        <f>VLOOKUP(D712,Product_Master!A:D,3,FALSE)</f>
        <v>Furniture</v>
      </c>
      <c r="K712">
        <f>VLOOKUP(D712,Product_Master!A:D,4,FALSE)</f>
        <v>150</v>
      </c>
      <c r="L712" t="str">
        <f>VLOOKUP(C712,Customer_Master!A:C,2,FALSE)</f>
        <v>TCS</v>
      </c>
      <c r="M712" t="str">
        <f>VLOOKUP(C712,Customer_Master!A:C,3,FALSE)</f>
        <v>Corporate</v>
      </c>
      <c r="N712">
        <f>Table1[[#This Row],[Quantity]]*Table1[[#This Row],[Unit_Price]]</f>
        <v>3754</v>
      </c>
      <c r="O712">
        <f>(Table1[[#This Row],[Unit_Price]]-Table1[[#This Row],[Cost_Price]])*Table1[[#This Row],[Quantity]]</f>
        <v>3454</v>
      </c>
      <c r="P712">
        <f t="shared" si="11"/>
        <v>3754</v>
      </c>
      <c r="Q712" t="str">
        <f>TEXT(Table1[[#This Row],[Order_Date]],"mmm-yyyy")</f>
        <v>May-2024</v>
      </c>
    </row>
    <row r="713" spans="1:17" x14ac:dyDescent="0.35">
      <c r="A713" t="s">
        <v>1063</v>
      </c>
      <c r="B713" t="s">
        <v>503</v>
      </c>
      <c r="C713" t="s">
        <v>10</v>
      </c>
      <c r="D713" t="s">
        <v>16</v>
      </c>
      <c r="E713" t="s">
        <v>12</v>
      </c>
      <c r="F713" t="s">
        <v>34</v>
      </c>
      <c r="G713">
        <v>7</v>
      </c>
      <c r="H713">
        <v>1201</v>
      </c>
      <c r="I713" t="str">
        <f>VLOOKUP(D713,Product_Master!A:D,2,FALSE)</f>
        <v>Printer</v>
      </c>
      <c r="J713" t="str">
        <f>VLOOKUP(D713,Product_Master!A:D,3,FALSE)</f>
        <v>Electronics</v>
      </c>
      <c r="K713">
        <f>VLOOKUP(D713,Product_Master!A:D,4,FALSE)</f>
        <v>1100</v>
      </c>
      <c r="L713" t="str">
        <f>VLOOKUP(C713,Customer_Master!A:C,2,FALSE)</f>
        <v>Suresh</v>
      </c>
      <c r="M713" t="str">
        <f>VLOOKUP(C713,Customer_Master!A:C,3,FALSE)</f>
        <v>Consumer</v>
      </c>
      <c r="N713">
        <f>Table1[[#This Row],[Quantity]]*Table1[[#This Row],[Unit_Price]]</f>
        <v>8407</v>
      </c>
      <c r="O713">
        <f>(Table1[[#This Row],[Unit_Price]]-Table1[[#This Row],[Cost_Price]])*Table1[[#This Row],[Quantity]]</f>
        <v>707</v>
      </c>
      <c r="P713">
        <f t="shared" si="11"/>
        <v>8407</v>
      </c>
      <c r="Q713" t="str">
        <f>TEXT(Table1[[#This Row],[Order_Date]],"mmm-yyyy")</f>
        <v>Mar-2024</v>
      </c>
    </row>
    <row r="714" spans="1:17" x14ac:dyDescent="0.35">
      <c r="A714" t="s">
        <v>1064</v>
      </c>
      <c r="B714" t="s">
        <v>1065</v>
      </c>
      <c r="C714" t="s">
        <v>42</v>
      </c>
      <c r="D714" t="s">
        <v>22</v>
      </c>
      <c r="E714" t="s">
        <v>12</v>
      </c>
      <c r="F714" t="s">
        <v>23</v>
      </c>
      <c r="G714">
        <v>8</v>
      </c>
      <c r="H714">
        <v>1764</v>
      </c>
      <c r="I714" t="str">
        <f>VLOOKUP(D714,Product_Master!A:D,2,FALSE)</f>
        <v>Desk</v>
      </c>
      <c r="J714" t="str">
        <f>VLOOKUP(D714,Product_Master!A:D,3,FALSE)</f>
        <v>Furniture</v>
      </c>
      <c r="K714">
        <f>VLOOKUP(D714,Product_Master!A:D,4,FALSE)</f>
        <v>300</v>
      </c>
      <c r="L714" t="str">
        <f>VLOOKUP(C714,Customer_Master!A:C,2,FALSE)</f>
        <v>Ramesh</v>
      </c>
      <c r="M714" t="str">
        <f>VLOOKUP(C714,Customer_Master!A:C,3,FALSE)</f>
        <v>Consumer</v>
      </c>
      <c r="N714">
        <f>Table1[[#This Row],[Quantity]]*Table1[[#This Row],[Unit_Price]]</f>
        <v>14112</v>
      </c>
      <c r="O714">
        <f>(Table1[[#This Row],[Unit_Price]]-Table1[[#This Row],[Cost_Price]])*Table1[[#This Row],[Quantity]]</f>
        <v>11712</v>
      </c>
      <c r="P714">
        <f t="shared" si="11"/>
        <v>14112</v>
      </c>
      <c r="Q714" t="str">
        <f>TEXT(Table1[[#This Row],[Order_Date]],"mmm-yyyy")</f>
        <v>Feb-2024</v>
      </c>
    </row>
    <row r="715" spans="1:17" x14ac:dyDescent="0.35">
      <c r="A715" t="s">
        <v>1066</v>
      </c>
      <c r="B715" t="s">
        <v>158</v>
      </c>
      <c r="C715" t="s">
        <v>45</v>
      </c>
      <c r="D715" t="s">
        <v>22</v>
      </c>
      <c r="E715" t="s">
        <v>17</v>
      </c>
      <c r="F715" t="s">
        <v>23</v>
      </c>
      <c r="G715">
        <v>3</v>
      </c>
      <c r="H715">
        <v>1264</v>
      </c>
      <c r="I715" t="str">
        <f>VLOOKUP(D715,Product_Master!A:D,2,FALSE)</f>
        <v>Desk</v>
      </c>
      <c r="J715" t="str">
        <f>VLOOKUP(D715,Product_Master!A:D,3,FALSE)</f>
        <v>Furniture</v>
      </c>
      <c r="K715">
        <f>VLOOKUP(D715,Product_Master!A:D,4,FALSE)</f>
        <v>300</v>
      </c>
      <c r="L715" t="str">
        <f>VLOOKUP(C715,Customer_Master!A:C,2,FALSE)</f>
        <v>TCS</v>
      </c>
      <c r="M715" t="str">
        <f>VLOOKUP(C715,Customer_Master!A:C,3,FALSE)</f>
        <v>Corporate</v>
      </c>
      <c r="N715">
        <f>Table1[[#This Row],[Quantity]]*Table1[[#This Row],[Unit_Price]]</f>
        <v>3792</v>
      </c>
      <c r="O715">
        <f>(Table1[[#This Row],[Unit_Price]]-Table1[[#This Row],[Cost_Price]])*Table1[[#This Row],[Quantity]]</f>
        <v>2892</v>
      </c>
      <c r="P715">
        <f t="shared" si="11"/>
        <v>3792</v>
      </c>
      <c r="Q715" t="str">
        <f>TEXT(Table1[[#This Row],[Order_Date]],"mmm-yyyy")</f>
        <v>Mar-2024</v>
      </c>
    </row>
    <row r="716" spans="1:17" x14ac:dyDescent="0.35">
      <c r="A716" t="s">
        <v>1067</v>
      </c>
      <c r="B716" t="s">
        <v>359</v>
      </c>
      <c r="C716" t="s">
        <v>42</v>
      </c>
      <c r="D716" t="s">
        <v>26</v>
      </c>
      <c r="E716" t="s">
        <v>27</v>
      </c>
      <c r="F716" t="s">
        <v>13</v>
      </c>
      <c r="G716">
        <v>4</v>
      </c>
      <c r="H716">
        <v>1531</v>
      </c>
      <c r="I716" t="str">
        <f>VLOOKUP(D716,Product_Master!A:D,2,FALSE)</f>
        <v>Laptop</v>
      </c>
      <c r="J716" t="str">
        <f>VLOOKUP(D716,Product_Master!A:D,3,FALSE)</f>
        <v>Electronics</v>
      </c>
      <c r="K716">
        <f>VLOOKUP(D716,Product_Master!A:D,4,FALSE)</f>
        <v>900</v>
      </c>
      <c r="L716" t="str">
        <f>VLOOKUP(C716,Customer_Master!A:C,2,FALSE)</f>
        <v>Ramesh</v>
      </c>
      <c r="M716" t="str">
        <f>VLOOKUP(C716,Customer_Master!A:C,3,FALSE)</f>
        <v>Consumer</v>
      </c>
      <c r="N716">
        <f>Table1[[#This Row],[Quantity]]*Table1[[#This Row],[Unit_Price]]</f>
        <v>6124</v>
      </c>
      <c r="O716">
        <f>(Table1[[#This Row],[Unit_Price]]-Table1[[#This Row],[Cost_Price]])*Table1[[#This Row],[Quantity]]</f>
        <v>2524</v>
      </c>
      <c r="P716">
        <f t="shared" si="11"/>
        <v>6124</v>
      </c>
      <c r="Q716" t="str">
        <f>TEXT(Table1[[#This Row],[Order_Date]],"mmm-yyyy")</f>
        <v>Dec-2024</v>
      </c>
    </row>
    <row r="717" spans="1:17" x14ac:dyDescent="0.35">
      <c r="A717" t="s">
        <v>1068</v>
      </c>
      <c r="B717" t="s">
        <v>423</v>
      </c>
      <c r="C717" t="s">
        <v>30</v>
      </c>
      <c r="D717" t="s">
        <v>22</v>
      </c>
      <c r="E717" t="s">
        <v>12</v>
      </c>
      <c r="F717" t="s">
        <v>13</v>
      </c>
      <c r="G717">
        <v>9</v>
      </c>
      <c r="H717">
        <v>1805</v>
      </c>
      <c r="I717" t="str">
        <f>VLOOKUP(D717,Product_Master!A:D,2,FALSE)</f>
        <v>Desk</v>
      </c>
      <c r="J717" t="str">
        <f>VLOOKUP(D717,Product_Master!A:D,3,FALSE)</f>
        <v>Furniture</v>
      </c>
      <c r="K717">
        <f>VLOOKUP(D717,Product_Master!A:D,4,FALSE)</f>
        <v>300</v>
      </c>
      <c r="L717" t="str">
        <f>VLOOKUP(C717,Customer_Master!A:C,2,FALSE)</f>
        <v>Infosys</v>
      </c>
      <c r="M717" t="str">
        <f>VLOOKUP(C717,Customer_Master!A:C,3,FALSE)</f>
        <v>Corporate</v>
      </c>
      <c r="N717">
        <f>Table1[[#This Row],[Quantity]]*Table1[[#This Row],[Unit_Price]]</f>
        <v>16245</v>
      </c>
      <c r="O717">
        <f>(Table1[[#This Row],[Unit_Price]]-Table1[[#This Row],[Cost_Price]])*Table1[[#This Row],[Quantity]]</f>
        <v>13545</v>
      </c>
      <c r="P717">
        <f t="shared" si="11"/>
        <v>16245</v>
      </c>
      <c r="Q717" t="str">
        <f>TEXT(Table1[[#This Row],[Order_Date]],"mmm-yyyy")</f>
        <v>Nov-2024</v>
      </c>
    </row>
    <row r="718" spans="1:17" x14ac:dyDescent="0.35">
      <c r="A718" t="s">
        <v>1069</v>
      </c>
      <c r="B718" t="s">
        <v>665</v>
      </c>
      <c r="C718" t="s">
        <v>21</v>
      </c>
      <c r="D718" t="s">
        <v>37</v>
      </c>
      <c r="E718" t="s">
        <v>33</v>
      </c>
      <c r="F718" t="s">
        <v>34</v>
      </c>
      <c r="G718">
        <v>5</v>
      </c>
      <c r="H718">
        <v>932</v>
      </c>
      <c r="I718" t="str">
        <f>VLOOKUP(D718,Product_Master!A:D,2,FALSE)</f>
        <v>Mobile</v>
      </c>
      <c r="J718" t="str">
        <f>VLOOKUP(D718,Product_Master!A:D,3,FALSE)</f>
        <v>Electronics</v>
      </c>
      <c r="K718">
        <f>VLOOKUP(D718,Product_Master!A:D,4,FALSE)</f>
        <v>600</v>
      </c>
      <c r="L718" t="str">
        <f>VLOOKUP(C718,Customer_Master!A:C,2,FALSE)</f>
        <v>Reliance</v>
      </c>
      <c r="M718" t="str">
        <f>VLOOKUP(C718,Customer_Master!A:C,3,FALSE)</f>
        <v>Corporate</v>
      </c>
      <c r="N718">
        <f>Table1[[#This Row],[Quantity]]*Table1[[#This Row],[Unit_Price]]</f>
        <v>4660</v>
      </c>
      <c r="O718">
        <f>(Table1[[#This Row],[Unit_Price]]-Table1[[#This Row],[Cost_Price]])*Table1[[#This Row],[Quantity]]</f>
        <v>1660</v>
      </c>
      <c r="P718">
        <f t="shared" si="11"/>
        <v>4660</v>
      </c>
      <c r="Q718" t="str">
        <f>TEXT(Table1[[#This Row],[Order_Date]],"mmm-yyyy")</f>
        <v>Aug-2024</v>
      </c>
    </row>
    <row r="719" spans="1:17" x14ac:dyDescent="0.35">
      <c r="A719" t="s">
        <v>1070</v>
      </c>
      <c r="B719" t="s">
        <v>215</v>
      </c>
      <c r="C719" t="s">
        <v>45</v>
      </c>
      <c r="D719" t="s">
        <v>22</v>
      </c>
      <c r="E719" t="s">
        <v>12</v>
      </c>
      <c r="F719" t="s">
        <v>34</v>
      </c>
      <c r="G719">
        <v>1</v>
      </c>
      <c r="H719">
        <v>1090</v>
      </c>
      <c r="I719" t="str">
        <f>VLOOKUP(D719,Product_Master!A:D,2,FALSE)</f>
        <v>Desk</v>
      </c>
      <c r="J719" t="str">
        <f>VLOOKUP(D719,Product_Master!A:D,3,FALSE)</f>
        <v>Furniture</v>
      </c>
      <c r="K719">
        <f>VLOOKUP(D719,Product_Master!A:D,4,FALSE)</f>
        <v>300</v>
      </c>
      <c r="L719" t="str">
        <f>VLOOKUP(C719,Customer_Master!A:C,2,FALSE)</f>
        <v>TCS</v>
      </c>
      <c r="M719" t="str">
        <f>VLOOKUP(C719,Customer_Master!A:C,3,FALSE)</f>
        <v>Corporate</v>
      </c>
      <c r="N719">
        <f>Table1[[#This Row],[Quantity]]*Table1[[#This Row],[Unit_Price]]</f>
        <v>1090</v>
      </c>
      <c r="O719">
        <f>(Table1[[#This Row],[Unit_Price]]-Table1[[#This Row],[Cost_Price]])*Table1[[#This Row],[Quantity]]</f>
        <v>790</v>
      </c>
      <c r="P719">
        <f t="shared" si="11"/>
        <v>1090</v>
      </c>
      <c r="Q719" t="str">
        <f>TEXT(Table1[[#This Row],[Order_Date]],"mmm-yyyy")</f>
        <v>Jun-2024</v>
      </c>
    </row>
    <row r="720" spans="1:17" x14ac:dyDescent="0.35">
      <c r="A720" t="s">
        <v>1071</v>
      </c>
      <c r="B720" t="s">
        <v>221</v>
      </c>
      <c r="C720" t="s">
        <v>10</v>
      </c>
      <c r="D720" t="s">
        <v>37</v>
      </c>
      <c r="E720" t="s">
        <v>12</v>
      </c>
      <c r="F720" t="s">
        <v>18</v>
      </c>
      <c r="G720">
        <v>6</v>
      </c>
      <c r="H720">
        <v>1302</v>
      </c>
      <c r="I720" t="str">
        <f>VLOOKUP(D720,Product_Master!A:D,2,FALSE)</f>
        <v>Mobile</v>
      </c>
      <c r="J720" t="str">
        <f>VLOOKUP(D720,Product_Master!A:D,3,FALSE)</f>
        <v>Electronics</v>
      </c>
      <c r="K720">
        <f>VLOOKUP(D720,Product_Master!A:D,4,FALSE)</f>
        <v>600</v>
      </c>
      <c r="L720" t="str">
        <f>VLOOKUP(C720,Customer_Master!A:C,2,FALSE)</f>
        <v>Suresh</v>
      </c>
      <c r="M720" t="str">
        <f>VLOOKUP(C720,Customer_Master!A:C,3,FALSE)</f>
        <v>Consumer</v>
      </c>
      <c r="N720">
        <f>Table1[[#This Row],[Quantity]]*Table1[[#This Row],[Unit_Price]]</f>
        <v>7812</v>
      </c>
      <c r="O720">
        <f>(Table1[[#This Row],[Unit_Price]]-Table1[[#This Row],[Cost_Price]])*Table1[[#This Row],[Quantity]]</f>
        <v>4212</v>
      </c>
      <c r="P720">
        <f t="shared" si="11"/>
        <v>7812</v>
      </c>
      <c r="Q720" t="str">
        <f>TEXT(Table1[[#This Row],[Order_Date]],"mmm-yyyy")</f>
        <v>Sep-2024</v>
      </c>
    </row>
    <row r="721" spans="1:17" x14ac:dyDescent="0.35">
      <c r="A721" t="s">
        <v>1072</v>
      </c>
      <c r="B721" t="s">
        <v>603</v>
      </c>
      <c r="C721" t="s">
        <v>21</v>
      </c>
      <c r="D721" t="s">
        <v>16</v>
      </c>
      <c r="E721" t="s">
        <v>27</v>
      </c>
      <c r="F721" t="s">
        <v>23</v>
      </c>
      <c r="G721">
        <v>5</v>
      </c>
      <c r="H721">
        <v>1564</v>
      </c>
      <c r="I721" t="str">
        <f>VLOOKUP(D721,Product_Master!A:D,2,FALSE)</f>
        <v>Printer</v>
      </c>
      <c r="J721" t="str">
        <f>VLOOKUP(D721,Product_Master!A:D,3,FALSE)</f>
        <v>Electronics</v>
      </c>
      <c r="K721">
        <f>VLOOKUP(D721,Product_Master!A:D,4,FALSE)</f>
        <v>1100</v>
      </c>
      <c r="L721" t="str">
        <f>VLOOKUP(C721,Customer_Master!A:C,2,FALSE)</f>
        <v>Reliance</v>
      </c>
      <c r="M721" t="str">
        <f>VLOOKUP(C721,Customer_Master!A:C,3,FALSE)</f>
        <v>Corporate</v>
      </c>
      <c r="N721">
        <f>Table1[[#This Row],[Quantity]]*Table1[[#This Row],[Unit_Price]]</f>
        <v>7820</v>
      </c>
      <c r="O721">
        <f>(Table1[[#This Row],[Unit_Price]]-Table1[[#This Row],[Cost_Price]])*Table1[[#This Row],[Quantity]]</f>
        <v>2320</v>
      </c>
      <c r="P721">
        <f t="shared" si="11"/>
        <v>7820</v>
      </c>
      <c r="Q721" t="str">
        <f>TEXT(Table1[[#This Row],[Order_Date]],"mmm-yyyy")</f>
        <v>Aug-2024</v>
      </c>
    </row>
    <row r="722" spans="1:17" x14ac:dyDescent="0.35">
      <c r="A722" t="s">
        <v>1073</v>
      </c>
      <c r="B722" t="s">
        <v>1074</v>
      </c>
      <c r="C722" t="s">
        <v>45</v>
      </c>
      <c r="D722" t="s">
        <v>16</v>
      </c>
      <c r="E722" t="s">
        <v>17</v>
      </c>
      <c r="F722" t="s">
        <v>13</v>
      </c>
      <c r="G722">
        <v>7</v>
      </c>
      <c r="H722">
        <v>1634</v>
      </c>
      <c r="I722" t="str">
        <f>VLOOKUP(D722,Product_Master!A:D,2,FALSE)</f>
        <v>Printer</v>
      </c>
      <c r="J722" t="str">
        <f>VLOOKUP(D722,Product_Master!A:D,3,FALSE)</f>
        <v>Electronics</v>
      </c>
      <c r="K722">
        <f>VLOOKUP(D722,Product_Master!A:D,4,FALSE)</f>
        <v>1100</v>
      </c>
      <c r="L722" t="str">
        <f>VLOOKUP(C722,Customer_Master!A:C,2,FALSE)</f>
        <v>TCS</v>
      </c>
      <c r="M722" t="str">
        <f>VLOOKUP(C722,Customer_Master!A:C,3,FALSE)</f>
        <v>Corporate</v>
      </c>
      <c r="N722">
        <f>Table1[[#This Row],[Quantity]]*Table1[[#This Row],[Unit_Price]]</f>
        <v>11438</v>
      </c>
      <c r="O722">
        <f>(Table1[[#This Row],[Unit_Price]]-Table1[[#This Row],[Cost_Price]])*Table1[[#This Row],[Quantity]]</f>
        <v>3738</v>
      </c>
      <c r="P722">
        <f t="shared" si="11"/>
        <v>11438</v>
      </c>
      <c r="Q722" t="str">
        <f>TEXT(Table1[[#This Row],[Order_Date]],"mmm-yyyy")</f>
        <v>Oct-2024</v>
      </c>
    </row>
    <row r="723" spans="1:17" x14ac:dyDescent="0.35">
      <c r="A723" t="s">
        <v>1075</v>
      </c>
      <c r="B723" t="s">
        <v>100</v>
      </c>
      <c r="C723" t="s">
        <v>21</v>
      </c>
      <c r="D723" t="s">
        <v>11</v>
      </c>
      <c r="E723" t="s">
        <v>12</v>
      </c>
      <c r="F723" t="s">
        <v>34</v>
      </c>
      <c r="G723">
        <v>10</v>
      </c>
      <c r="H723">
        <v>1841</v>
      </c>
      <c r="I723" t="str">
        <f>VLOOKUP(D723,Product_Master!A:D,2,FALSE)</f>
        <v>Chair</v>
      </c>
      <c r="J723" t="str">
        <f>VLOOKUP(D723,Product_Master!A:D,3,FALSE)</f>
        <v>Furniture</v>
      </c>
      <c r="K723">
        <f>VLOOKUP(D723,Product_Master!A:D,4,FALSE)</f>
        <v>150</v>
      </c>
      <c r="L723" t="str">
        <f>VLOOKUP(C723,Customer_Master!A:C,2,FALSE)</f>
        <v>Reliance</v>
      </c>
      <c r="M723" t="str">
        <f>VLOOKUP(C723,Customer_Master!A:C,3,FALSE)</f>
        <v>Corporate</v>
      </c>
      <c r="N723">
        <f>Table1[[#This Row],[Quantity]]*Table1[[#This Row],[Unit_Price]]</f>
        <v>18410</v>
      </c>
      <c r="O723">
        <f>(Table1[[#This Row],[Unit_Price]]-Table1[[#This Row],[Cost_Price]])*Table1[[#This Row],[Quantity]]</f>
        <v>16910</v>
      </c>
      <c r="P723">
        <f t="shared" si="11"/>
        <v>18410</v>
      </c>
      <c r="Q723" t="str">
        <f>TEXT(Table1[[#This Row],[Order_Date]],"mmm-yyyy")</f>
        <v>Nov-2024</v>
      </c>
    </row>
    <row r="724" spans="1:17" x14ac:dyDescent="0.35">
      <c r="A724" t="s">
        <v>1076</v>
      </c>
      <c r="B724" t="s">
        <v>1077</v>
      </c>
      <c r="C724" t="s">
        <v>30</v>
      </c>
      <c r="D724" t="s">
        <v>22</v>
      </c>
      <c r="E724" t="s">
        <v>17</v>
      </c>
      <c r="F724" t="s">
        <v>18</v>
      </c>
      <c r="G724">
        <v>9</v>
      </c>
      <c r="H724">
        <v>971</v>
      </c>
      <c r="I724" t="str">
        <f>VLOOKUP(D724,Product_Master!A:D,2,FALSE)</f>
        <v>Desk</v>
      </c>
      <c r="J724" t="str">
        <f>VLOOKUP(D724,Product_Master!A:D,3,FALSE)</f>
        <v>Furniture</v>
      </c>
      <c r="K724">
        <f>VLOOKUP(D724,Product_Master!A:D,4,FALSE)</f>
        <v>300</v>
      </c>
      <c r="L724" t="str">
        <f>VLOOKUP(C724,Customer_Master!A:C,2,FALSE)</f>
        <v>Infosys</v>
      </c>
      <c r="M724" t="str">
        <f>VLOOKUP(C724,Customer_Master!A:C,3,FALSE)</f>
        <v>Corporate</v>
      </c>
      <c r="N724">
        <f>Table1[[#This Row],[Quantity]]*Table1[[#This Row],[Unit_Price]]</f>
        <v>8739</v>
      </c>
      <c r="O724">
        <f>(Table1[[#This Row],[Unit_Price]]-Table1[[#This Row],[Cost_Price]])*Table1[[#This Row],[Quantity]]</f>
        <v>6039</v>
      </c>
      <c r="P724">
        <f t="shared" si="11"/>
        <v>8739</v>
      </c>
      <c r="Q724" t="str">
        <f>TEXT(Table1[[#This Row],[Order_Date]],"mmm-yyyy")</f>
        <v>Mar-2024</v>
      </c>
    </row>
    <row r="725" spans="1:17" x14ac:dyDescent="0.35">
      <c r="A725" t="s">
        <v>1078</v>
      </c>
      <c r="B725" t="s">
        <v>60</v>
      </c>
      <c r="C725" t="s">
        <v>10</v>
      </c>
      <c r="D725" t="s">
        <v>11</v>
      </c>
      <c r="E725" t="s">
        <v>12</v>
      </c>
      <c r="F725" t="s">
        <v>13</v>
      </c>
      <c r="G725">
        <v>9</v>
      </c>
      <c r="H725">
        <v>1172</v>
      </c>
      <c r="I725" t="str">
        <f>VLOOKUP(D725,Product_Master!A:D,2,FALSE)</f>
        <v>Chair</v>
      </c>
      <c r="J725" t="str">
        <f>VLOOKUP(D725,Product_Master!A:D,3,FALSE)</f>
        <v>Furniture</v>
      </c>
      <c r="K725">
        <f>VLOOKUP(D725,Product_Master!A:D,4,FALSE)</f>
        <v>150</v>
      </c>
      <c r="L725" t="str">
        <f>VLOOKUP(C725,Customer_Master!A:C,2,FALSE)</f>
        <v>Suresh</v>
      </c>
      <c r="M725" t="str">
        <f>VLOOKUP(C725,Customer_Master!A:C,3,FALSE)</f>
        <v>Consumer</v>
      </c>
      <c r="N725">
        <f>Table1[[#This Row],[Quantity]]*Table1[[#This Row],[Unit_Price]]</f>
        <v>10548</v>
      </c>
      <c r="O725">
        <f>(Table1[[#This Row],[Unit_Price]]-Table1[[#This Row],[Cost_Price]])*Table1[[#This Row],[Quantity]]</f>
        <v>9198</v>
      </c>
      <c r="P725">
        <f t="shared" si="11"/>
        <v>10548</v>
      </c>
      <c r="Q725" t="str">
        <f>TEXT(Table1[[#This Row],[Order_Date]],"mmm-yyyy")</f>
        <v>Aug-2024</v>
      </c>
    </row>
    <row r="726" spans="1:17" x14ac:dyDescent="0.35">
      <c r="A726" t="s">
        <v>1079</v>
      </c>
      <c r="B726" t="s">
        <v>72</v>
      </c>
      <c r="C726" t="s">
        <v>42</v>
      </c>
      <c r="D726" t="s">
        <v>11</v>
      </c>
      <c r="E726" t="s">
        <v>27</v>
      </c>
      <c r="F726" t="s">
        <v>23</v>
      </c>
      <c r="G726">
        <v>6</v>
      </c>
      <c r="H726">
        <v>1785</v>
      </c>
      <c r="I726" t="str">
        <f>VLOOKUP(D726,Product_Master!A:D,2,FALSE)</f>
        <v>Chair</v>
      </c>
      <c r="J726" t="str">
        <f>VLOOKUP(D726,Product_Master!A:D,3,FALSE)</f>
        <v>Furniture</v>
      </c>
      <c r="K726">
        <f>VLOOKUP(D726,Product_Master!A:D,4,FALSE)</f>
        <v>150</v>
      </c>
      <c r="L726" t="str">
        <f>VLOOKUP(C726,Customer_Master!A:C,2,FALSE)</f>
        <v>Ramesh</v>
      </c>
      <c r="M726" t="str">
        <f>VLOOKUP(C726,Customer_Master!A:C,3,FALSE)</f>
        <v>Consumer</v>
      </c>
      <c r="N726">
        <f>Table1[[#This Row],[Quantity]]*Table1[[#This Row],[Unit_Price]]</f>
        <v>10710</v>
      </c>
      <c r="O726">
        <f>(Table1[[#This Row],[Unit_Price]]-Table1[[#This Row],[Cost_Price]])*Table1[[#This Row],[Quantity]]</f>
        <v>9810</v>
      </c>
      <c r="P726">
        <f t="shared" si="11"/>
        <v>10710</v>
      </c>
      <c r="Q726" t="str">
        <f>TEXT(Table1[[#This Row],[Order_Date]],"mmm-yyyy")</f>
        <v>Mar-2024</v>
      </c>
    </row>
    <row r="727" spans="1:17" x14ac:dyDescent="0.35">
      <c r="A727" t="s">
        <v>1080</v>
      </c>
      <c r="B727" t="s">
        <v>1081</v>
      </c>
      <c r="C727" t="s">
        <v>10</v>
      </c>
      <c r="D727" t="s">
        <v>16</v>
      </c>
      <c r="E727" t="s">
        <v>27</v>
      </c>
      <c r="F727" t="s">
        <v>34</v>
      </c>
      <c r="G727">
        <v>1</v>
      </c>
      <c r="H727">
        <v>923</v>
      </c>
      <c r="I727" t="str">
        <f>VLOOKUP(D727,Product_Master!A:D,2,FALSE)</f>
        <v>Printer</v>
      </c>
      <c r="J727" t="str">
        <f>VLOOKUP(D727,Product_Master!A:D,3,FALSE)</f>
        <v>Electronics</v>
      </c>
      <c r="K727">
        <f>VLOOKUP(D727,Product_Master!A:D,4,FALSE)</f>
        <v>1100</v>
      </c>
      <c r="L727" t="str">
        <f>VLOOKUP(C727,Customer_Master!A:C,2,FALSE)</f>
        <v>Suresh</v>
      </c>
      <c r="M727" t="str">
        <f>VLOOKUP(C727,Customer_Master!A:C,3,FALSE)</f>
        <v>Consumer</v>
      </c>
      <c r="N727">
        <f>Table1[[#This Row],[Quantity]]*Table1[[#This Row],[Unit_Price]]</f>
        <v>923</v>
      </c>
      <c r="O727">
        <f>(Table1[[#This Row],[Unit_Price]]-Table1[[#This Row],[Cost_Price]])*Table1[[#This Row],[Quantity]]</f>
        <v>-177</v>
      </c>
      <c r="P727">
        <f t="shared" si="11"/>
        <v>923</v>
      </c>
      <c r="Q727" t="str">
        <f>TEXT(Table1[[#This Row],[Order_Date]],"mmm-yyyy")</f>
        <v>Sep-2024</v>
      </c>
    </row>
    <row r="728" spans="1:17" x14ac:dyDescent="0.35">
      <c r="A728" t="s">
        <v>1082</v>
      </c>
      <c r="B728" t="s">
        <v>76</v>
      </c>
      <c r="C728" t="s">
        <v>45</v>
      </c>
      <c r="D728" t="s">
        <v>16</v>
      </c>
      <c r="E728" t="s">
        <v>12</v>
      </c>
      <c r="F728" t="s">
        <v>23</v>
      </c>
      <c r="G728">
        <v>10</v>
      </c>
      <c r="H728">
        <v>1057</v>
      </c>
      <c r="I728" t="str">
        <f>VLOOKUP(D728,Product_Master!A:D,2,FALSE)</f>
        <v>Printer</v>
      </c>
      <c r="J728" t="str">
        <f>VLOOKUP(D728,Product_Master!A:D,3,FALSE)</f>
        <v>Electronics</v>
      </c>
      <c r="K728">
        <f>VLOOKUP(D728,Product_Master!A:D,4,FALSE)</f>
        <v>1100</v>
      </c>
      <c r="L728" t="str">
        <f>VLOOKUP(C728,Customer_Master!A:C,2,FALSE)</f>
        <v>TCS</v>
      </c>
      <c r="M728" t="str">
        <f>VLOOKUP(C728,Customer_Master!A:C,3,FALSE)</f>
        <v>Corporate</v>
      </c>
      <c r="N728">
        <f>Table1[[#This Row],[Quantity]]*Table1[[#This Row],[Unit_Price]]</f>
        <v>10570</v>
      </c>
      <c r="O728">
        <f>(Table1[[#This Row],[Unit_Price]]-Table1[[#This Row],[Cost_Price]])*Table1[[#This Row],[Quantity]]</f>
        <v>-430</v>
      </c>
      <c r="P728">
        <f t="shared" si="11"/>
        <v>10570</v>
      </c>
      <c r="Q728" t="str">
        <f>TEXT(Table1[[#This Row],[Order_Date]],"mmm-yyyy")</f>
        <v>Jan-2024</v>
      </c>
    </row>
    <row r="729" spans="1:17" x14ac:dyDescent="0.35">
      <c r="A729" t="s">
        <v>1083</v>
      </c>
      <c r="B729" t="s">
        <v>645</v>
      </c>
      <c r="C729" t="s">
        <v>21</v>
      </c>
      <c r="D729" t="s">
        <v>11</v>
      </c>
      <c r="E729" t="s">
        <v>17</v>
      </c>
      <c r="F729" t="s">
        <v>34</v>
      </c>
      <c r="G729">
        <v>10</v>
      </c>
      <c r="H729">
        <v>1245</v>
      </c>
      <c r="I729" t="str">
        <f>VLOOKUP(D729,Product_Master!A:D,2,FALSE)</f>
        <v>Chair</v>
      </c>
      <c r="J729" t="str">
        <f>VLOOKUP(D729,Product_Master!A:D,3,FALSE)</f>
        <v>Furniture</v>
      </c>
      <c r="K729">
        <f>VLOOKUP(D729,Product_Master!A:D,4,FALSE)</f>
        <v>150</v>
      </c>
      <c r="L729" t="str">
        <f>VLOOKUP(C729,Customer_Master!A:C,2,FALSE)</f>
        <v>Reliance</v>
      </c>
      <c r="M729" t="str">
        <f>VLOOKUP(C729,Customer_Master!A:C,3,FALSE)</f>
        <v>Corporate</v>
      </c>
      <c r="N729">
        <f>Table1[[#This Row],[Quantity]]*Table1[[#This Row],[Unit_Price]]</f>
        <v>12450</v>
      </c>
      <c r="O729">
        <f>(Table1[[#This Row],[Unit_Price]]-Table1[[#This Row],[Cost_Price]])*Table1[[#This Row],[Quantity]]</f>
        <v>10950</v>
      </c>
      <c r="P729">
        <f t="shared" si="11"/>
        <v>12450</v>
      </c>
      <c r="Q729" t="str">
        <f>TEXT(Table1[[#This Row],[Order_Date]],"mmm-yyyy")</f>
        <v>Feb-2024</v>
      </c>
    </row>
    <row r="730" spans="1:17" x14ac:dyDescent="0.35">
      <c r="A730" t="s">
        <v>1084</v>
      </c>
      <c r="B730" t="s">
        <v>585</v>
      </c>
      <c r="C730" t="s">
        <v>30</v>
      </c>
      <c r="D730" t="s">
        <v>16</v>
      </c>
      <c r="E730" t="s">
        <v>27</v>
      </c>
      <c r="F730" t="s">
        <v>23</v>
      </c>
      <c r="G730">
        <v>3</v>
      </c>
      <c r="H730">
        <v>1472</v>
      </c>
      <c r="I730" t="str">
        <f>VLOOKUP(D730,Product_Master!A:D,2,FALSE)</f>
        <v>Printer</v>
      </c>
      <c r="J730" t="str">
        <f>VLOOKUP(D730,Product_Master!A:D,3,FALSE)</f>
        <v>Electronics</v>
      </c>
      <c r="K730">
        <f>VLOOKUP(D730,Product_Master!A:D,4,FALSE)</f>
        <v>1100</v>
      </c>
      <c r="L730" t="str">
        <f>VLOOKUP(C730,Customer_Master!A:C,2,FALSE)</f>
        <v>Infosys</v>
      </c>
      <c r="M730" t="str">
        <f>VLOOKUP(C730,Customer_Master!A:C,3,FALSE)</f>
        <v>Corporate</v>
      </c>
      <c r="N730">
        <f>Table1[[#This Row],[Quantity]]*Table1[[#This Row],[Unit_Price]]</f>
        <v>4416</v>
      </c>
      <c r="O730">
        <f>(Table1[[#This Row],[Unit_Price]]-Table1[[#This Row],[Cost_Price]])*Table1[[#This Row],[Quantity]]</f>
        <v>1116</v>
      </c>
      <c r="P730">
        <f t="shared" si="11"/>
        <v>4416</v>
      </c>
      <c r="Q730" t="str">
        <f>TEXT(Table1[[#This Row],[Order_Date]],"mmm-yyyy")</f>
        <v>Oct-2024</v>
      </c>
    </row>
    <row r="731" spans="1:17" x14ac:dyDescent="0.35">
      <c r="A731" t="s">
        <v>1085</v>
      </c>
      <c r="B731" t="s">
        <v>226</v>
      </c>
      <c r="C731" t="s">
        <v>21</v>
      </c>
      <c r="D731" t="s">
        <v>37</v>
      </c>
      <c r="E731" t="s">
        <v>17</v>
      </c>
      <c r="F731" t="s">
        <v>34</v>
      </c>
      <c r="G731">
        <v>2</v>
      </c>
      <c r="H731">
        <v>939</v>
      </c>
      <c r="I731" t="str">
        <f>VLOOKUP(D731,Product_Master!A:D,2,FALSE)</f>
        <v>Mobile</v>
      </c>
      <c r="J731" t="str">
        <f>VLOOKUP(D731,Product_Master!A:D,3,FALSE)</f>
        <v>Electronics</v>
      </c>
      <c r="K731">
        <f>VLOOKUP(D731,Product_Master!A:D,4,FALSE)</f>
        <v>600</v>
      </c>
      <c r="L731" t="str">
        <f>VLOOKUP(C731,Customer_Master!A:C,2,FALSE)</f>
        <v>Reliance</v>
      </c>
      <c r="M731" t="str">
        <f>VLOOKUP(C731,Customer_Master!A:C,3,FALSE)</f>
        <v>Corporate</v>
      </c>
      <c r="N731">
        <f>Table1[[#This Row],[Quantity]]*Table1[[#This Row],[Unit_Price]]</f>
        <v>1878</v>
      </c>
      <c r="O731">
        <f>(Table1[[#This Row],[Unit_Price]]-Table1[[#This Row],[Cost_Price]])*Table1[[#This Row],[Quantity]]</f>
        <v>678</v>
      </c>
      <c r="P731">
        <f t="shared" si="11"/>
        <v>1878</v>
      </c>
      <c r="Q731" t="str">
        <f>TEXT(Table1[[#This Row],[Order_Date]],"mmm-yyyy")</f>
        <v>May-2024</v>
      </c>
    </row>
    <row r="732" spans="1:17" x14ac:dyDescent="0.35">
      <c r="A732" t="s">
        <v>1086</v>
      </c>
      <c r="B732" t="s">
        <v>44</v>
      </c>
      <c r="C732" t="s">
        <v>42</v>
      </c>
      <c r="D732" t="s">
        <v>22</v>
      </c>
      <c r="E732" t="s">
        <v>27</v>
      </c>
      <c r="F732" t="s">
        <v>23</v>
      </c>
      <c r="G732">
        <v>8</v>
      </c>
      <c r="H732">
        <v>1770</v>
      </c>
      <c r="I732" t="str">
        <f>VLOOKUP(D732,Product_Master!A:D,2,FALSE)</f>
        <v>Desk</v>
      </c>
      <c r="J732" t="str">
        <f>VLOOKUP(D732,Product_Master!A:D,3,FALSE)</f>
        <v>Furniture</v>
      </c>
      <c r="K732">
        <f>VLOOKUP(D732,Product_Master!A:D,4,FALSE)</f>
        <v>300</v>
      </c>
      <c r="L732" t="str">
        <f>VLOOKUP(C732,Customer_Master!A:C,2,FALSE)</f>
        <v>Ramesh</v>
      </c>
      <c r="M732" t="str">
        <f>VLOOKUP(C732,Customer_Master!A:C,3,FALSE)</f>
        <v>Consumer</v>
      </c>
      <c r="N732">
        <f>Table1[[#This Row],[Quantity]]*Table1[[#This Row],[Unit_Price]]</f>
        <v>14160</v>
      </c>
      <c r="O732">
        <f>(Table1[[#This Row],[Unit_Price]]-Table1[[#This Row],[Cost_Price]])*Table1[[#This Row],[Quantity]]</f>
        <v>11760</v>
      </c>
      <c r="P732">
        <f t="shared" si="11"/>
        <v>14160</v>
      </c>
      <c r="Q732" t="str">
        <f>TEXT(Table1[[#This Row],[Order_Date]],"mmm-yyyy")</f>
        <v>Sep-2024</v>
      </c>
    </row>
    <row r="733" spans="1:17" x14ac:dyDescent="0.35">
      <c r="A733" t="s">
        <v>1087</v>
      </c>
      <c r="B733" t="s">
        <v>478</v>
      </c>
      <c r="C733" t="s">
        <v>10</v>
      </c>
      <c r="D733" t="s">
        <v>11</v>
      </c>
      <c r="E733" t="s">
        <v>17</v>
      </c>
      <c r="F733" t="s">
        <v>23</v>
      </c>
      <c r="G733">
        <v>9</v>
      </c>
      <c r="H733">
        <v>1176</v>
      </c>
      <c r="I733" t="str">
        <f>VLOOKUP(D733,Product_Master!A:D,2,FALSE)</f>
        <v>Chair</v>
      </c>
      <c r="J733" t="str">
        <f>VLOOKUP(D733,Product_Master!A:D,3,FALSE)</f>
        <v>Furniture</v>
      </c>
      <c r="K733">
        <f>VLOOKUP(D733,Product_Master!A:D,4,FALSE)</f>
        <v>150</v>
      </c>
      <c r="L733" t="str">
        <f>VLOOKUP(C733,Customer_Master!A:C,2,FALSE)</f>
        <v>Suresh</v>
      </c>
      <c r="M733" t="str">
        <f>VLOOKUP(C733,Customer_Master!A:C,3,FALSE)</f>
        <v>Consumer</v>
      </c>
      <c r="N733">
        <f>Table1[[#This Row],[Quantity]]*Table1[[#This Row],[Unit_Price]]</f>
        <v>10584</v>
      </c>
      <c r="O733">
        <f>(Table1[[#This Row],[Unit_Price]]-Table1[[#This Row],[Cost_Price]])*Table1[[#This Row],[Quantity]]</f>
        <v>9234</v>
      </c>
      <c r="P733">
        <f t="shared" si="11"/>
        <v>10584</v>
      </c>
      <c r="Q733" t="str">
        <f>TEXT(Table1[[#This Row],[Order_Date]],"mmm-yyyy")</f>
        <v>Jul-2024</v>
      </c>
    </row>
    <row r="734" spans="1:17" x14ac:dyDescent="0.35">
      <c r="A734" t="s">
        <v>1088</v>
      </c>
      <c r="B734" t="s">
        <v>619</v>
      </c>
      <c r="C734" t="s">
        <v>45</v>
      </c>
      <c r="D734" t="s">
        <v>22</v>
      </c>
      <c r="E734" t="s">
        <v>12</v>
      </c>
      <c r="F734" t="s">
        <v>23</v>
      </c>
      <c r="G734">
        <v>3</v>
      </c>
      <c r="H734">
        <v>1771</v>
      </c>
      <c r="I734" t="str">
        <f>VLOOKUP(D734,Product_Master!A:D,2,FALSE)</f>
        <v>Desk</v>
      </c>
      <c r="J734" t="str">
        <f>VLOOKUP(D734,Product_Master!A:D,3,FALSE)</f>
        <v>Furniture</v>
      </c>
      <c r="K734">
        <f>VLOOKUP(D734,Product_Master!A:D,4,FALSE)</f>
        <v>300</v>
      </c>
      <c r="L734" t="str">
        <f>VLOOKUP(C734,Customer_Master!A:C,2,FALSE)</f>
        <v>TCS</v>
      </c>
      <c r="M734" t="str">
        <f>VLOOKUP(C734,Customer_Master!A:C,3,FALSE)</f>
        <v>Corporate</v>
      </c>
      <c r="N734">
        <f>Table1[[#This Row],[Quantity]]*Table1[[#This Row],[Unit_Price]]</f>
        <v>5313</v>
      </c>
      <c r="O734">
        <f>(Table1[[#This Row],[Unit_Price]]-Table1[[#This Row],[Cost_Price]])*Table1[[#This Row],[Quantity]]</f>
        <v>4413</v>
      </c>
      <c r="P734">
        <f t="shared" si="11"/>
        <v>5313</v>
      </c>
      <c r="Q734" t="str">
        <f>TEXT(Table1[[#This Row],[Order_Date]],"mmm-yyyy")</f>
        <v>Mar-2024</v>
      </c>
    </row>
    <row r="735" spans="1:17" x14ac:dyDescent="0.35">
      <c r="A735" t="s">
        <v>1089</v>
      </c>
      <c r="B735" t="s">
        <v>541</v>
      </c>
      <c r="C735" t="s">
        <v>10</v>
      </c>
      <c r="D735" t="s">
        <v>26</v>
      </c>
      <c r="E735" t="s">
        <v>17</v>
      </c>
      <c r="F735" t="s">
        <v>23</v>
      </c>
      <c r="G735">
        <v>5</v>
      </c>
      <c r="H735">
        <v>1511</v>
      </c>
      <c r="I735" t="str">
        <f>VLOOKUP(D735,Product_Master!A:D,2,FALSE)</f>
        <v>Laptop</v>
      </c>
      <c r="J735" t="str">
        <f>VLOOKUP(D735,Product_Master!A:D,3,FALSE)</f>
        <v>Electronics</v>
      </c>
      <c r="K735">
        <f>VLOOKUP(D735,Product_Master!A:D,4,FALSE)</f>
        <v>900</v>
      </c>
      <c r="L735" t="str">
        <f>VLOOKUP(C735,Customer_Master!A:C,2,FALSE)</f>
        <v>Suresh</v>
      </c>
      <c r="M735" t="str">
        <f>VLOOKUP(C735,Customer_Master!A:C,3,FALSE)</f>
        <v>Consumer</v>
      </c>
      <c r="N735">
        <f>Table1[[#This Row],[Quantity]]*Table1[[#This Row],[Unit_Price]]</f>
        <v>7555</v>
      </c>
      <c r="O735">
        <f>(Table1[[#This Row],[Unit_Price]]-Table1[[#This Row],[Cost_Price]])*Table1[[#This Row],[Quantity]]</f>
        <v>3055</v>
      </c>
      <c r="P735">
        <f t="shared" si="11"/>
        <v>7555</v>
      </c>
      <c r="Q735" t="str">
        <f>TEXT(Table1[[#This Row],[Order_Date]],"mmm-yyyy")</f>
        <v>Jun-2024</v>
      </c>
    </row>
    <row r="736" spans="1:17" x14ac:dyDescent="0.35">
      <c r="A736" t="s">
        <v>1090</v>
      </c>
      <c r="B736" t="s">
        <v>1091</v>
      </c>
      <c r="C736" t="s">
        <v>10</v>
      </c>
      <c r="D736" t="s">
        <v>37</v>
      </c>
      <c r="E736" t="s">
        <v>27</v>
      </c>
      <c r="F736" t="s">
        <v>34</v>
      </c>
      <c r="G736">
        <v>4</v>
      </c>
      <c r="H736">
        <v>1079</v>
      </c>
      <c r="I736" t="str">
        <f>VLOOKUP(D736,Product_Master!A:D,2,FALSE)</f>
        <v>Mobile</v>
      </c>
      <c r="J736" t="str">
        <f>VLOOKUP(D736,Product_Master!A:D,3,FALSE)</f>
        <v>Electronics</v>
      </c>
      <c r="K736">
        <f>VLOOKUP(D736,Product_Master!A:D,4,FALSE)</f>
        <v>600</v>
      </c>
      <c r="L736" t="str">
        <f>VLOOKUP(C736,Customer_Master!A:C,2,FALSE)</f>
        <v>Suresh</v>
      </c>
      <c r="M736" t="str">
        <f>VLOOKUP(C736,Customer_Master!A:C,3,FALSE)</f>
        <v>Consumer</v>
      </c>
      <c r="N736">
        <f>Table1[[#This Row],[Quantity]]*Table1[[#This Row],[Unit_Price]]</f>
        <v>4316</v>
      </c>
      <c r="O736">
        <f>(Table1[[#This Row],[Unit_Price]]-Table1[[#This Row],[Cost_Price]])*Table1[[#This Row],[Quantity]]</f>
        <v>1916</v>
      </c>
      <c r="P736">
        <f t="shared" si="11"/>
        <v>4316</v>
      </c>
      <c r="Q736" t="str">
        <f>TEXT(Table1[[#This Row],[Order_Date]],"mmm-yyyy")</f>
        <v>Oct-2024</v>
      </c>
    </row>
    <row r="737" spans="1:17" x14ac:dyDescent="0.35">
      <c r="A737" t="s">
        <v>1092</v>
      </c>
      <c r="B737" t="s">
        <v>141</v>
      </c>
      <c r="C737" t="s">
        <v>42</v>
      </c>
      <c r="D737" t="s">
        <v>22</v>
      </c>
      <c r="E737" t="s">
        <v>12</v>
      </c>
      <c r="F737" t="s">
        <v>13</v>
      </c>
      <c r="G737">
        <v>4</v>
      </c>
      <c r="H737">
        <v>1475</v>
      </c>
      <c r="I737" t="str">
        <f>VLOOKUP(D737,Product_Master!A:D,2,FALSE)</f>
        <v>Desk</v>
      </c>
      <c r="J737" t="str">
        <f>VLOOKUP(D737,Product_Master!A:D,3,FALSE)</f>
        <v>Furniture</v>
      </c>
      <c r="K737">
        <f>VLOOKUP(D737,Product_Master!A:D,4,FALSE)</f>
        <v>300</v>
      </c>
      <c r="L737" t="str">
        <f>VLOOKUP(C737,Customer_Master!A:C,2,FALSE)</f>
        <v>Ramesh</v>
      </c>
      <c r="M737" t="str">
        <f>VLOOKUP(C737,Customer_Master!A:C,3,FALSE)</f>
        <v>Consumer</v>
      </c>
      <c r="N737">
        <f>Table1[[#This Row],[Quantity]]*Table1[[#This Row],[Unit_Price]]</f>
        <v>5900</v>
      </c>
      <c r="O737">
        <f>(Table1[[#This Row],[Unit_Price]]-Table1[[#This Row],[Cost_Price]])*Table1[[#This Row],[Quantity]]</f>
        <v>4700</v>
      </c>
      <c r="P737">
        <f t="shared" si="11"/>
        <v>5900</v>
      </c>
      <c r="Q737" t="str">
        <f>TEXT(Table1[[#This Row],[Order_Date]],"mmm-yyyy")</f>
        <v>Jan-2024</v>
      </c>
    </row>
    <row r="738" spans="1:17" x14ac:dyDescent="0.35">
      <c r="A738" t="s">
        <v>1093</v>
      </c>
      <c r="B738" t="s">
        <v>1094</v>
      </c>
      <c r="C738" t="s">
        <v>30</v>
      </c>
      <c r="D738" t="s">
        <v>26</v>
      </c>
      <c r="E738" t="s">
        <v>27</v>
      </c>
      <c r="F738" t="s">
        <v>13</v>
      </c>
      <c r="G738">
        <v>5</v>
      </c>
      <c r="H738">
        <v>1170</v>
      </c>
      <c r="I738" t="str">
        <f>VLOOKUP(D738,Product_Master!A:D,2,FALSE)</f>
        <v>Laptop</v>
      </c>
      <c r="J738" t="str">
        <f>VLOOKUP(D738,Product_Master!A:D,3,FALSE)</f>
        <v>Electronics</v>
      </c>
      <c r="K738">
        <f>VLOOKUP(D738,Product_Master!A:D,4,FALSE)</f>
        <v>900</v>
      </c>
      <c r="L738" t="str">
        <f>VLOOKUP(C738,Customer_Master!A:C,2,FALSE)</f>
        <v>Infosys</v>
      </c>
      <c r="M738" t="str">
        <f>VLOOKUP(C738,Customer_Master!A:C,3,FALSE)</f>
        <v>Corporate</v>
      </c>
      <c r="N738">
        <f>Table1[[#This Row],[Quantity]]*Table1[[#This Row],[Unit_Price]]</f>
        <v>5850</v>
      </c>
      <c r="O738">
        <f>(Table1[[#This Row],[Unit_Price]]-Table1[[#This Row],[Cost_Price]])*Table1[[#This Row],[Quantity]]</f>
        <v>1350</v>
      </c>
      <c r="P738">
        <f t="shared" si="11"/>
        <v>5850</v>
      </c>
      <c r="Q738" t="str">
        <f>TEXT(Table1[[#This Row],[Order_Date]],"mmm-yyyy")</f>
        <v>Dec-2024</v>
      </c>
    </row>
    <row r="739" spans="1:17" x14ac:dyDescent="0.35">
      <c r="A739" t="s">
        <v>1095</v>
      </c>
      <c r="B739" t="s">
        <v>530</v>
      </c>
      <c r="C739" t="s">
        <v>42</v>
      </c>
      <c r="D739" t="s">
        <v>26</v>
      </c>
      <c r="E739" t="s">
        <v>33</v>
      </c>
      <c r="F739" t="s">
        <v>18</v>
      </c>
      <c r="G739">
        <v>10</v>
      </c>
      <c r="H739">
        <v>1319</v>
      </c>
      <c r="I739" t="str">
        <f>VLOOKUP(D739,Product_Master!A:D,2,FALSE)</f>
        <v>Laptop</v>
      </c>
      <c r="J739" t="str">
        <f>VLOOKUP(D739,Product_Master!A:D,3,FALSE)</f>
        <v>Electronics</v>
      </c>
      <c r="K739">
        <f>VLOOKUP(D739,Product_Master!A:D,4,FALSE)</f>
        <v>900</v>
      </c>
      <c r="L739" t="str">
        <f>VLOOKUP(C739,Customer_Master!A:C,2,FALSE)</f>
        <v>Ramesh</v>
      </c>
      <c r="M739" t="str">
        <f>VLOOKUP(C739,Customer_Master!A:C,3,FALSE)</f>
        <v>Consumer</v>
      </c>
      <c r="N739">
        <f>Table1[[#This Row],[Quantity]]*Table1[[#This Row],[Unit_Price]]</f>
        <v>13190</v>
      </c>
      <c r="O739">
        <f>(Table1[[#This Row],[Unit_Price]]-Table1[[#This Row],[Cost_Price]])*Table1[[#This Row],[Quantity]]</f>
        <v>4190</v>
      </c>
      <c r="P739">
        <f t="shared" si="11"/>
        <v>13190</v>
      </c>
      <c r="Q739" t="str">
        <f>TEXT(Table1[[#This Row],[Order_Date]],"mmm-yyyy")</f>
        <v>Mar-2024</v>
      </c>
    </row>
    <row r="740" spans="1:17" x14ac:dyDescent="0.35">
      <c r="A740" t="s">
        <v>1096</v>
      </c>
      <c r="B740" t="s">
        <v>681</v>
      </c>
      <c r="C740" t="s">
        <v>42</v>
      </c>
      <c r="D740" t="s">
        <v>11</v>
      </c>
      <c r="E740" t="s">
        <v>33</v>
      </c>
      <c r="F740" t="s">
        <v>23</v>
      </c>
      <c r="G740">
        <v>7</v>
      </c>
      <c r="H740">
        <v>1499</v>
      </c>
      <c r="I740" t="str">
        <f>VLOOKUP(D740,Product_Master!A:D,2,FALSE)</f>
        <v>Chair</v>
      </c>
      <c r="J740" t="str">
        <f>VLOOKUP(D740,Product_Master!A:D,3,FALSE)</f>
        <v>Furniture</v>
      </c>
      <c r="K740">
        <f>VLOOKUP(D740,Product_Master!A:D,4,FALSE)</f>
        <v>150</v>
      </c>
      <c r="L740" t="str">
        <f>VLOOKUP(C740,Customer_Master!A:C,2,FALSE)</f>
        <v>Ramesh</v>
      </c>
      <c r="M740" t="str">
        <f>VLOOKUP(C740,Customer_Master!A:C,3,FALSE)</f>
        <v>Consumer</v>
      </c>
      <c r="N740">
        <f>Table1[[#This Row],[Quantity]]*Table1[[#This Row],[Unit_Price]]</f>
        <v>10493</v>
      </c>
      <c r="O740">
        <f>(Table1[[#This Row],[Unit_Price]]-Table1[[#This Row],[Cost_Price]])*Table1[[#This Row],[Quantity]]</f>
        <v>9443</v>
      </c>
      <c r="P740">
        <f t="shared" si="11"/>
        <v>10493</v>
      </c>
      <c r="Q740" t="str">
        <f>TEXT(Table1[[#This Row],[Order_Date]],"mmm-yyyy")</f>
        <v>Feb-2024</v>
      </c>
    </row>
    <row r="741" spans="1:17" x14ac:dyDescent="0.35">
      <c r="A741" t="s">
        <v>1097</v>
      </c>
      <c r="B741" t="s">
        <v>102</v>
      </c>
      <c r="C741" t="s">
        <v>45</v>
      </c>
      <c r="D741" t="s">
        <v>26</v>
      </c>
      <c r="E741" t="s">
        <v>33</v>
      </c>
      <c r="F741" t="s">
        <v>13</v>
      </c>
      <c r="G741">
        <v>6</v>
      </c>
      <c r="H741">
        <v>1122</v>
      </c>
      <c r="I741" t="str">
        <f>VLOOKUP(D741,Product_Master!A:D,2,FALSE)</f>
        <v>Laptop</v>
      </c>
      <c r="J741" t="str">
        <f>VLOOKUP(D741,Product_Master!A:D,3,FALSE)</f>
        <v>Electronics</v>
      </c>
      <c r="K741">
        <f>VLOOKUP(D741,Product_Master!A:D,4,FALSE)</f>
        <v>900</v>
      </c>
      <c r="L741" t="str">
        <f>VLOOKUP(C741,Customer_Master!A:C,2,FALSE)</f>
        <v>TCS</v>
      </c>
      <c r="M741" t="str">
        <f>VLOOKUP(C741,Customer_Master!A:C,3,FALSE)</f>
        <v>Corporate</v>
      </c>
      <c r="N741">
        <f>Table1[[#This Row],[Quantity]]*Table1[[#This Row],[Unit_Price]]</f>
        <v>6732</v>
      </c>
      <c r="O741">
        <f>(Table1[[#This Row],[Unit_Price]]-Table1[[#This Row],[Cost_Price]])*Table1[[#This Row],[Quantity]]</f>
        <v>1332</v>
      </c>
      <c r="P741">
        <f t="shared" si="11"/>
        <v>6732</v>
      </c>
      <c r="Q741" t="str">
        <f>TEXT(Table1[[#This Row],[Order_Date]],"mmm-yyyy")</f>
        <v>May-2024</v>
      </c>
    </row>
    <row r="742" spans="1:17" x14ac:dyDescent="0.35">
      <c r="A742" t="s">
        <v>1098</v>
      </c>
      <c r="B742" t="s">
        <v>871</v>
      </c>
      <c r="C742" t="s">
        <v>10</v>
      </c>
      <c r="D742" t="s">
        <v>37</v>
      </c>
      <c r="E742" t="s">
        <v>27</v>
      </c>
      <c r="F742" t="s">
        <v>18</v>
      </c>
      <c r="G742">
        <v>3</v>
      </c>
      <c r="H742">
        <v>1185</v>
      </c>
      <c r="I742" t="str">
        <f>VLOOKUP(D742,Product_Master!A:D,2,FALSE)</f>
        <v>Mobile</v>
      </c>
      <c r="J742" t="str">
        <f>VLOOKUP(D742,Product_Master!A:D,3,FALSE)</f>
        <v>Electronics</v>
      </c>
      <c r="K742">
        <f>VLOOKUP(D742,Product_Master!A:D,4,FALSE)</f>
        <v>600</v>
      </c>
      <c r="L742" t="str">
        <f>VLOOKUP(C742,Customer_Master!A:C,2,FALSE)</f>
        <v>Suresh</v>
      </c>
      <c r="M742" t="str">
        <f>VLOOKUP(C742,Customer_Master!A:C,3,FALSE)</f>
        <v>Consumer</v>
      </c>
      <c r="N742">
        <f>Table1[[#This Row],[Quantity]]*Table1[[#This Row],[Unit_Price]]</f>
        <v>3555</v>
      </c>
      <c r="O742">
        <f>(Table1[[#This Row],[Unit_Price]]-Table1[[#This Row],[Cost_Price]])*Table1[[#This Row],[Quantity]]</f>
        <v>1755</v>
      </c>
      <c r="P742">
        <f t="shared" si="11"/>
        <v>3555</v>
      </c>
      <c r="Q742" t="str">
        <f>TEXT(Table1[[#This Row],[Order_Date]],"mmm-yyyy")</f>
        <v>Jul-2024</v>
      </c>
    </row>
    <row r="743" spans="1:17" x14ac:dyDescent="0.35">
      <c r="A743" t="s">
        <v>1099</v>
      </c>
      <c r="B743" t="s">
        <v>39</v>
      </c>
      <c r="C743" t="s">
        <v>30</v>
      </c>
      <c r="D743" t="s">
        <v>16</v>
      </c>
      <c r="E743" t="s">
        <v>17</v>
      </c>
      <c r="F743" t="s">
        <v>34</v>
      </c>
      <c r="G743">
        <v>2</v>
      </c>
      <c r="H743">
        <v>1227</v>
      </c>
      <c r="I743" t="str">
        <f>VLOOKUP(D743,Product_Master!A:D,2,FALSE)</f>
        <v>Printer</v>
      </c>
      <c r="J743" t="str">
        <f>VLOOKUP(D743,Product_Master!A:D,3,FALSE)</f>
        <v>Electronics</v>
      </c>
      <c r="K743">
        <f>VLOOKUP(D743,Product_Master!A:D,4,FALSE)</f>
        <v>1100</v>
      </c>
      <c r="L743" t="str">
        <f>VLOOKUP(C743,Customer_Master!A:C,2,FALSE)</f>
        <v>Infosys</v>
      </c>
      <c r="M743" t="str">
        <f>VLOOKUP(C743,Customer_Master!A:C,3,FALSE)</f>
        <v>Corporate</v>
      </c>
      <c r="N743">
        <f>Table1[[#This Row],[Quantity]]*Table1[[#This Row],[Unit_Price]]</f>
        <v>2454</v>
      </c>
      <c r="O743">
        <f>(Table1[[#This Row],[Unit_Price]]-Table1[[#This Row],[Cost_Price]])*Table1[[#This Row],[Quantity]]</f>
        <v>254</v>
      </c>
      <c r="P743">
        <f t="shared" si="11"/>
        <v>2454</v>
      </c>
      <c r="Q743" t="str">
        <f>TEXT(Table1[[#This Row],[Order_Date]],"mmm-yyyy")</f>
        <v>May-2024</v>
      </c>
    </row>
    <row r="744" spans="1:17" x14ac:dyDescent="0.35">
      <c r="A744" t="s">
        <v>1100</v>
      </c>
      <c r="B744" t="s">
        <v>147</v>
      </c>
      <c r="C744" t="s">
        <v>10</v>
      </c>
      <c r="D744" t="s">
        <v>37</v>
      </c>
      <c r="E744" t="s">
        <v>27</v>
      </c>
      <c r="F744" t="s">
        <v>13</v>
      </c>
      <c r="G744">
        <v>4</v>
      </c>
      <c r="H744">
        <v>1177</v>
      </c>
      <c r="I744" t="str">
        <f>VLOOKUP(D744,Product_Master!A:D,2,FALSE)</f>
        <v>Mobile</v>
      </c>
      <c r="J744" t="str">
        <f>VLOOKUP(D744,Product_Master!A:D,3,FALSE)</f>
        <v>Electronics</v>
      </c>
      <c r="K744">
        <f>VLOOKUP(D744,Product_Master!A:D,4,FALSE)</f>
        <v>600</v>
      </c>
      <c r="L744" t="str">
        <f>VLOOKUP(C744,Customer_Master!A:C,2,FALSE)</f>
        <v>Suresh</v>
      </c>
      <c r="M744" t="str">
        <f>VLOOKUP(C744,Customer_Master!A:C,3,FALSE)</f>
        <v>Consumer</v>
      </c>
      <c r="N744">
        <f>Table1[[#This Row],[Quantity]]*Table1[[#This Row],[Unit_Price]]</f>
        <v>4708</v>
      </c>
      <c r="O744">
        <f>(Table1[[#This Row],[Unit_Price]]-Table1[[#This Row],[Cost_Price]])*Table1[[#This Row],[Quantity]]</f>
        <v>2308</v>
      </c>
      <c r="P744">
        <f t="shared" si="11"/>
        <v>4708</v>
      </c>
      <c r="Q744" t="str">
        <f>TEXT(Table1[[#This Row],[Order_Date]],"mmm-yyyy")</f>
        <v>May-2024</v>
      </c>
    </row>
    <row r="745" spans="1:17" x14ac:dyDescent="0.35">
      <c r="A745" t="s">
        <v>1101</v>
      </c>
      <c r="B745" t="s">
        <v>1033</v>
      </c>
      <c r="C745" t="s">
        <v>21</v>
      </c>
      <c r="D745" t="s">
        <v>22</v>
      </c>
      <c r="E745" t="s">
        <v>33</v>
      </c>
      <c r="F745" t="s">
        <v>18</v>
      </c>
      <c r="G745">
        <v>9</v>
      </c>
      <c r="H745">
        <v>1159</v>
      </c>
      <c r="I745" t="str">
        <f>VLOOKUP(D745,Product_Master!A:D,2,FALSE)</f>
        <v>Desk</v>
      </c>
      <c r="J745" t="str">
        <f>VLOOKUP(D745,Product_Master!A:D,3,FALSE)</f>
        <v>Furniture</v>
      </c>
      <c r="K745">
        <f>VLOOKUP(D745,Product_Master!A:D,4,FALSE)</f>
        <v>300</v>
      </c>
      <c r="L745" t="str">
        <f>VLOOKUP(C745,Customer_Master!A:C,2,FALSE)</f>
        <v>Reliance</v>
      </c>
      <c r="M745" t="str">
        <f>VLOOKUP(C745,Customer_Master!A:C,3,FALSE)</f>
        <v>Corporate</v>
      </c>
      <c r="N745">
        <f>Table1[[#This Row],[Quantity]]*Table1[[#This Row],[Unit_Price]]</f>
        <v>10431</v>
      </c>
      <c r="O745">
        <f>(Table1[[#This Row],[Unit_Price]]-Table1[[#This Row],[Cost_Price]])*Table1[[#This Row],[Quantity]]</f>
        <v>7731</v>
      </c>
      <c r="P745">
        <f t="shared" si="11"/>
        <v>10431</v>
      </c>
      <c r="Q745" t="str">
        <f>TEXT(Table1[[#This Row],[Order_Date]],"mmm-yyyy")</f>
        <v>Feb-2024</v>
      </c>
    </row>
    <row r="746" spans="1:17" x14ac:dyDescent="0.35">
      <c r="A746" t="s">
        <v>1102</v>
      </c>
      <c r="B746" t="s">
        <v>864</v>
      </c>
      <c r="C746" t="s">
        <v>30</v>
      </c>
      <c r="D746" t="s">
        <v>16</v>
      </c>
      <c r="E746" t="s">
        <v>12</v>
      </c>
      <c r="F746" t="s">
        <v>18</v>
      </c>
      <c r="G746">
        <v>10</v>
      </c>
      <c r="H746">
        <v>975</v>
      </c>
      <c r="I746" t="str">
        <f>VLOOKUP(D746,Product_Master!A:D,2,FALSE)</f>
        <v>Printer</v>
      </c>
      <c r="J746" t="str">
        <f>VLOOKUP(D746,Product_Master!A:D,3,FALSE)</f>
        <v>Electronics</v>
      </c>
      <c r="K746">
        <f>VLOOKUP(D746,Product_Master!A:D,4,FALSE)</f>
        <v>1100</v>
      </c>
      <c r="L746" t="str">
        <f>VLOOKUP(C746,Customer_Master!A:C,2,FALSE)</f>
        <v>Infosys</v>
      </c>
      <c r="M746" t="str">
        <f>VLOOKUP(C746,Customer_Master!A:C,3,FALSE)</f>
        <v>Corporate</v>
      </c>
      <c r="N746">
        <f>Table1[[#This Row],[Quantity]]*Table1[[#This Row],[Unit_Price]]</f>
        <v>9750</v>
      </c>
      <c r="O746">
        <f>(Table1[[#This Row],[Unit_Price]]-Table1[[#This Row],[Cost_Price]])*Table1[[#This Row],[Quantity]]</f>
        <v>-1250</v>
      </c>
      <c r="P746">
        <f t="shared" si="11"/>
        <v>9750</v>
      </c>
      <c r="Q746" t="str">
        <f>TEXT(Table1[[#This Row],[Order_Date]],"mmm-yyyy")</f>
        <v>May-2024</v>
      </c>
    </row>
    <row r="747" spans="1:17" x14ac:dyDescent="0.35">
      <c r="A747" t="s">
        <v>1103</v>
      </c>
      <c r="B747" t="s">
        <v>460</v>
      </c>
      <c r="C747" t="s">
        <v>30</v>
      </c>
      <c r="D747" t="s">
        <v>11</v>
      </c>
      <c r="E747" t="s">
        <v>12</v>
      </c>
      <c r="F747" t="s">
        <v>18</v>
      </c>
      <c r="G747">
        <v>5</v>
      </c>
      <c r="H747">
        <v>1637</v>
      </c>
      <c r="I747" t="str">
        <f>VLOOKUP(D747,Product_Master!A:D,2,FALSE)</f>
        <v>Chair</v>
      </c>
      <c r="J747" t="str">
        <f>VLOOKUP(D747,Product_Master!A:D,3,FALSE)</f>
        <v>Furniture</v>
      </c>
      <c r="K747">
        <f>VLOOKUP(D747,Product_Master!A:D,4,FALSE)</f>
        <v>150</v>
      </c>
      <c r="L747" t="str">
        <f>VLOOKUP(C747,Customer_Master!A:C,2,FALSE)</f>
        <v>Infosys</v>
      </c>
      <c r="M747" t="str">
        <f>VLOOKUP(C747,Customer_Master!A:C,3,FALSE)</f>
        <v>Corporate</v>
      </c>
      <c r="N747">
        <f>Table1[[#This Row],[Quantity]]*Table1[[#This Row],[Unit_Price]]</f>
        <v>8185</v>
      </c>
      <c r="O747">
        <f>(Table1[[#This Row],[Unit_Price]]-Table1[[#This Row],[Cost_Price]])*Table1[[#This Row],[Quantity]]</f>
        <v>7435</v>
      </c>
      <c r="P747">
        <f t="shared" si="11"/>
        <v>8185</v>
      </c>
      <c r="Q747" t="str">
        <f>TEXT(Table1[[#This Row],[Order_Date]],"mmm-yyyy")</f>
        <v>Nov-2024</v>
      </c>
    </row>
    <row r="748" spans="1:17" x14ac:dyDescent="0.35">
      <c r="A748" t="s">
        <v>1104</v>
      </c>
      <c r="B748" t="s">
        <v>308</v>
      </c>
      <c r="C748" t="s">
        <v>42</v>
      </c>
      <c r="D748" t="s">
        <v>22</v>
      </c>
      <c r="E748" t="s">
        <v>33</v>
      </c>
      <c r="F748" t="s">
        <v>13</v>
      </c>
      <c r="G748">
        <v>1</v>
      </c>
      <c r="H748">
        <v>1549</v>
      </c>
      <c r="I748" t="str">
        <f>VLOOKUP(D748,Product_Master!A:D,2,FALSE)</f>
        <v>Desk</v>
      </c>
      <c r="J748" t="str">
        <f>VLOOKUP(D748,Product_Master!A:D,3,FALSE)</f>
        <v>Furniture</v>
      </c>
      <c r="K748">
        <f>VLOOKUP(D748,Product_Master!A:D,4,FALSE)</f>
        <v>300</v>
      </c>
      <c r="L748" t="str">
        <f>VLOOKUP(C748,Customer_Master!A:C,2,FALSE)</f>
        <v>Ramesh</v>
      </c>
      <c r="M748" t="str">
        <f>VLOOKUP(C748,Customer_Master!A:C,3,FALSE)</f>
        <v>Consumer</v>
      </c>
      <c r="N748">
        <f>Table1[[#This Row],[Quantity]]*Table1[[#This Row],[Unit_Price]]</f>
        <v>1549</v>
      </c>
      <c r="O748">
        <f>(Table1[[#This Row],[Unit_Price]]-Table1[[#This Row],[Cost_Price]])*Table1[[#This Row],[Quantity]]</f>
        <v>1249</v>
      </c>
      <c r="P748">
        <f t="shared" si="11"/>
        <v>1549</v>
      </c>
      <c r="Q748" t="str">
        <f>TEXT(Table1[[#This Row],[Order_Date]],"mmm-yyyy")</f>
        <v>May-2024</v>
      </c>
    </row>
    <row r="749" spans="1:17" x14ac:dyDescent="0.35">
      <c r="A749" t="s">
        <v>1105</v>
      </c>
      <c r="B749" t="s">
        <v>368</v>
      </c>
      <c r="C749" t="s">
        <v>30</v>
      </c>
      <c r="D749" t="s">
        <v>16</v>
      </c>
      <c r="E749" t="s">
        <v>12</v>
      </c>
      <c r="F749" t="s">
        <v>18</v>
      </c>
      <c r="G749">
        <v>8</v>
      </c>
      <c r="H749">
        <v>1255</v>
      </c>
      <c r="I749" t="str">
        <f>VLOOKUP(D749,Product_Master!A:D,2,FALSE)</f>
        <v>Printer</v>
      </c>
      <c r="J749" t="str">
        <f>VLOOKUP(D749,Product_Master!A:D,3,FALSE)</f>
        <v>Electronics</v>
      </c>
      <c r="K749">
        <f>VLOOKUP(D749,Product_Master!A:D,4,FALSE)</f>
        <v>1100</v>
      </c>
      <c r="L749" t="str">
        <f>VLOOKUP(C749,Customer_Master!A:C,2,FALSE)</f>
        <v>Infosys</v>
      </c>
      <c r="M749" t="str">
        <f>VLOOKUP(C749,Customer_Master!A:C,3,FALSE)</f>
        <v>Corporate</v>
      </c>
      <c r="N749">
        <f>Table1[[#This Row],[Quantity]]*Table1[[#This Row],[Unit_Price]]</f>
        <v>10040</v>
      </c>
      <c r="O749">
        <f>(Table1[[#This Row],[Unit_Price]]-Table1[[#This Row],[Cost_Price]])*Table1[[#This Row],[Quantity]]</f>
        <v>1240</v>
      </c>
      <c r="P749">
        <f t="shared" si="11"/>
        <v>10040</v>
      </c>
      <c r="Q749" t="str">
        <f>TEXT(Table1[[#This Row],[Order_Date]],"mmm-yyyy")</f>
        <v>Oct-2024</v>
      </c>
    </row>
    <row r="750" spans="1:17" x14ac:dyDescent="0.35">
      <c r="A750" t="s">
        <v>1106</v>
      </c>
      <c r="B750" t="s">
        <v>337</v>
      </c>
      <c r="C750" t="s">
        <v>30</v>
      </c>
      <c r="D750" t="s">
        <v>22</v>
      </c>
      <c r="E750" t="s">
        <v>12</v>
      </c>
      <c r="F750" t="s">
        <v>13</v>
      </c>
      <c r="G750">
        <v>3</v>
      </c>
      <c r="H750">
        <v>1973</v>
      </c>
      <c r="I750" t="str">
        <f>VLOOKUP(D750,Product_Master!A:D,2,FALSE)</f>
        <v>Desk</v>
      </c>
      <c r="J750" t="str">
        <f>VLOOKUP(D750,Product_Master!A:D,3,FALSE)</f>
        <v>Furniture</v>
      </c>
      <c r="K750">
        <f>VLOOKUP(D750,Product_Master!A:D,4,FALSE)</f>
        <v>300</v>
      </c>
      <c r="L750" t="str">
        <f>VLOOKUP(C750,Customer_Master!A:C,2,FALSE)</f>
        <v>Infosys</v>
      </c>
      <c r="M750" t="str">
        <f>VLOOKUP(C750,Customer_Master!A:C,3,FALSE)</f>
        <v>Corporate</v>
      </c>
      <c r="N750">
        <f>Table1[[#This Row],[Quantity]]*Table1[[#This Row],[Unit_Price]]</f>
        <v>5919</v>
      </c>
      <c r="O750">
        <f>(Table1[[#This Row],[Unit_Price]]-Table1[[#This Row],[Cost_Price]])*Table1[[#This Row],[Quantity]]</f>
        <v>5019</v>
      </c>
      <c r="P750">
        <f t="shared" si="11"/>
        <v>5919</v>
      </c>
      <c r="Q750" t="str">
        <f>TEXT(Table1[[#This Row],[Order_Date]],"mmm-yyyy")</f>
        <v>Apr-2024</v>
      </c>
    </row>
    <row r="751" spans="1:17" x14ac:dyDescent="0.35">
      <c r="A751" t="s">
        <v>1107</v>
      </c>
      <c r="B751" t="s">
        <v>308</v>
      </c>
      <c r="C751" t="s">
        <v>45</v>
      </c>
      <c r="D751" t="s">
        <v>22</v>
      </c>
      <c r="E751" t="s">
        <v>17</v>
      </c>
      <c r="F751" t="s">
        <v>18</v>
      </c>
      <c r="G751">
        <v>3</v>
      </c>
      <c r="H751">
        <v>1510</v>
      </c>
      <c r="I751" t="str">
        <f>VLOOKUP(D751,Product_Master!A:D,2,FALSE)</f>
        <v>Desk</v>
      </c>
      <c r="J751" t="str">
        <f>VLOOKUP(D751,Product_Master!A:D,3,FALSE)</f>
        <v>Furniture</v>
      </c>
      <c r="K751">
        <f>VLOOKUP(D751,Product_Master!A:D,4,FALSE)</f>
        <v>300</v>
      </c>
      <c r="L751" t="str">
        <f>VLOOKUP(C751,Customer_Master!A:C,2,FALSE)</f>
        <v>TCS</v>
      </c>
      <c r="M751" t="str">
        <f>VLOOKUP(C751,Customer_Master!A:C,3,FALSE)</f>
        <v>Corporate</v>
      </c>
      <c r="N751">
        <f>Table1[[#This Row],[Quantity]]*Table1[[#This Row],[Unit_Price]]</f>
        <v>4530</v>
      </c>
      <c r="O751">
        <f>(Table1[[#This Row],[Unit_Price]]-Table1[[#This Row],[Cost_Price]])*Table1[[#This Row],[Quantity]]</f>
        <v>3630</v>
      </c>
      <c r="P751">
        <f t="shared" si="11"/>
        <v>4530</v>
      </c>
      <c r="Q751" t="str">
        <f>TEXT(Table1[[#This Row],[Order_Date]],"mmm-yyyy")</f>
        <v>May-2024</v>
      </c>
    </row>
    <row r="752" spans="1:17" x14ac:dyDescent="0.35">
      <c r="A752" t="s">
        <v>1108</v>
      </c>
      <c r="B752" t="s">
        <v>507</v>
      </c>
      <c r="C752" t="s">
        <v>10</v>
      </c>
      <c r="D752" t="s">
        <v>37</v>
      </c>
      <c r="E752" t="s">
        <v>17</v>
      </c>
      <c r="F752" t="s">
        <v>34</v>
      </c>
      <c r="G752">
        <v>6</v>
      </c>
      <c r="H752">
        <v>1513</v>
      </c>
      <c r="I752" t="str">
        <f>VLOOKUP(D752,Product_Master!A:D,2,FALSE)</f>
        <v>Mobile</v>
      </c>
      <c r="J752" t="str">
        <f>VLOOKUP(D752,Product_Master!A:D,3,FALSE)</f>
        <v>Electronics</v>
      </c>
      <c r="K752">
        <f>VLOOKUP(D752,Product_Master!A:D,4,FALSE)</f>
        <v>600</v>
      </c>
      <c r="L752" t="str">
        <f>VLOOKUP(C752,Customer_Master!A:C,2,FALSE)</f>
        <v>Suresh</v>
      </c>
      <c r="M752" t="str">
        <f>VLOOKUP(C752,Customer_Master!A:C,3,FALSE)</f>
        <v>Consumer</v>
      </c>
      <c r="N752">
        <f>Table1[[#This Row],[Quantity]]*Table1[[#This Row],[Unit_Price]]</f>
        <v>9078</v>
      </c>
      <c r="O752">
        <f>(Table1[[#This Row],[Unit_Price]]-Table1[[#This Row],[Cost_Price]])*Table1[[#This Row],[Quantity]]</f>
        <v>5478</v>
      </c>
      <c r="P752">
        <f t="shared" si="11"/>
        <v>9078</v>
      </c>
      <c r="Q752" t="str">
        <f>TEXT(Table1[[#This Row],[Order_Date]],"mmm-yyyy")</f>
        <v>May-2024</v>
      </c>
    </row>
    <row r="753" spans="1:17" x14ac:dyDescent="0.35">
      <c r="A753" t="s">
        <v>1109</v>
      </c>
      <c r="B753" t="s">
        <v>976</v>
      </c>
      <c r="C753" t="s">
        <v>30</v>
      </c>
      <c r="D753" t="s">
        <v>11</v>
      </c>
      <c r="E753" t="s">
        <v>33</v>
      </c>
      <c r="F753" t="s">
        <v>13</v>
      </c>
      <c r="G753">
        <v>9</v>
      </c>
      <c r="H753">
        <v>1426</v>
      </c>
      <c r="I753" t="str">
        <f>VLOOKUP(D753,Product_Master!A:D,2,FALSE)</f>
        <v>Chair</v>
      </c>
      <c r="J753" t="str">
        <f>VLOOKUP(D753,Product_Master!A:D,3,FALSE)</f>
        <v>Furniture</v>
      </c>
      <c r="K753">
        <f>VLOOKUP(D753,Product_Master!A:D,4,FALSE)</f>
        <v>150</v>
      </c>
      <c r="L753" t="str">
        <f>VLOOKUP(C753,Customer_Master!A:C,2,FALSE)</f>
        <v>Infosys</v>
      </c>
      <c r="M753" t="str">
        <f>VLOOKUP(C753,Customer_Master!A:C,3,FALSE)</f>
        <v>Corporate</v>
      </c>
      <c r="N753">
        <f>Table1[[#This Row],[Quantity]]*Table1[[#This Row],[Unit_Price]]</f>
        <v>12834</v>
      </c>
      <c r="O753">
        <f>(Table1[[#This Row],[Unit_Price]]-Table1[[#This Row],[Cost_Price]])*Table1[[#This Row],[Quantity]]</f>
        <v>11484</v>
      </c>
      <c r="P753">
        <f t="shared" si="11"/>
        <v>12834</v>
      </c>
      <c r="Q753" t="str">
        <f>TEXT(Table1[[#This Row],[Order_Date]],"mmm-yyyy")</f>
        <v>Dec-2024</v>
      </c>
    </row>
    <row r="754" spans="1:17" x14ac:dyDescent="0.35">
      <c r="A754" t="s">
        <v>1110</v>
      </c>
      <c r="B754" t="s">
        <v>1111</v>
      </c>
      <c r="C754" t="s">
        <v>10</v>
      </c>
      <c r="D754" t="s">
        <v>37</v>
      </c>
      <c r="E754" t="s">
        <v>33</v>
      </c>
      <c r="F754" t="s">
        <v>13</v>
      </c>
      <c r="G754">
        <v>1</v>
      </c>
      <c r="H754">
        <v>1537</v>
      </c>
      <c r="I754" t="str">
        <f>VLOOKUP(D754,Product_Master!A:D,2,FALSE)</f>
        <v>Mobile</v>
      </c>
      <c r="J754" t="str">
        <f>VLOOKUP(D754,Product_Master!A:D,3,FALSE)</f>
        <v>Electronics</v>
      </c>
      <c r="K754">
        <f>VLOOKUP(D754,Product_Master!A:D,4,FALSE)</f>
        <v>600</v>
      </c>
      <c r="L754" t="str">
        <f>VLOOKUP(C754,Customer_Master!A:C,2,FALSE)</f>
        <v>Suresh</v>
      </c>
      <c r="M754" t="str">
        <f>VLOOKUP(C754,Customer_Master!A:C,3,FALSE)</f>
        <v>Consumer</v>
      </c>
      <c r="N754">
        <f>Table1[[#This Row],[Quantity]]*Table1[[#This Row],[Unit_Price]]</f>
        <v>1537</v>
      </c>
      <c r="O754">
        <f>(Table1[[#This Row],[Unit_Price]]-Table1[[#This Row],[Cost_Price]])*Table1[[#This Row],[Quantity]]</f>
        <v>937</v>
      </c>
      <c r="P754">
        <f t="shared" si="11"/>
        <v>1537</v>
      </c>
      <c r="Q754" t="str">
        <f>TEXT(Table1[[#This Row],[Order_Date]],"mmm-yyyy")</f>
        <v>Feb-2024</v>
      </c>
    </row>
    <row r="755" spans="1:17" x14ac:dyDescent="0.35">
      <c r="A755" t="s">
        <v>1112</v>
      </c>
      <c r="B755" t="s">
        <v>561</v>
      </c>
      <c r="C755" t="s">
        <v>21</v>
      </c>
      <c r="D755" t="s">
        <v>22</v>
      </c>
      <c r="E755" t="s">
        <v>17</v>
      </c>
      <c r="F755" t="s">
        <v>18</v>
      </c>
      <c r="G755">
        <v>5</v>
      </c>
      <c r="H755">
        <v>1154</v>
      </c>
      <c r="I755" t="str">
        <f>VLOOKUP(D755,Product_Master!A:D,2,FALSE)</f>
        <v>Desk</v>
      </c>
      <c r="J755" t="str">
        <f>VLOOKUP(D755,Product_Master!A:D,3,FALSE)</f>
        <v>Furniture</v>
      </c>
      <c r="K755">
        <f>VLOOKUP(D755,Product_Master!A:D,4,FALSE)</f>
        <v>300</v>
      </c>
      <c r="L755" t="str">
        <f>VLOOKUP(C755,Customer_Master!A:C,2,FALSE)</f>
        <v>Reliance</v>
      </c>
      <c r="M755" t="str">
        <f>VLOOKUP(C755,Customer_Master!A:C,3,FALSE)</f>
        <v>Corporate</v>
      </c>
      <c r="N755">
        <f>Table1[[#This Row],[Quantity]]*Table1[[#This Row],[Unit_Price]]</f>
        <v>5770</v>
      </c>
      <c r="O755">
        <f>(Table1[[#This Row],[Unit_Price]]-Table1[[#This Row],[Cost_Price]])*Table1[[#This Row],[Quantity]]</f>
        <v>4270</v>
      </c>
      <c r="P755">
        <f t="shared" si="11"/>
        <v>5770</v>
      </c>
      <c r="Q755" t="str">
        <f>TEXT(Table1[[#This Row],[Order_Date]],"mmm-yyyy")</f>
        <v>Aug-2024</v>
      </c>
    </row>
    <row r="756" spans="1:17" x14ac:dyDescent="0.35">
      <c r="A756" t="s">
        <v>1113</v>
      </c>
      <c r="B756" t="s">
        <v>321</v>
      </c>
      <c r="C756" t="s">
        <v>21</v>
      </c>
      <c r="D756" t="s">
        <v>11</v>
      </c>
      <c r="E756" t="s">
        <v>27</v>
      </c>
      <c r="F756" t="s">
        <v>18</v>
      </c>
      <c r="G756">
        <v>5</v>
      </c>
      <c r="H756">
        <v>877</v>
      </c>
      <c r="I756" t="str">
        <f>VLOOKUP(D756,Product_Master!A:D,2,FALSE)</f>
        <v>Chair</v>
      </c>
      <c r="J756" t="str">
        <f>VLOOKUP(D756,Product_Master!A:D,3,FALSE)</f>
        <v>Furniture</v>
      </c>
      <c r="K756">
        <f>VLOOKUP(D756,Product_Master!A:D,4,FALSE)</f>
        <v>150</v>
      </c>
      <c r="L756" t="str">
        <f>VLOOKUP(C756,Customer_Master!A:C,2,FALSE)</f>
        <v>Reliance</v>
      </c>
      <c r="M756" t="str">
        <f>VLOOKUP(C756,Customer_Master!A:C,3,FALSE)</f>
        <v>Corporate</v>
      </c>
      <c r="N756">
        <f>Table1[[#This Row],[Quantity]]*Table1[[#This Row],[Unit_Price]]</f>
        <v>4385</v>
      </c>
      <c r="O756">
        <f>(Table1[[#This Row],[Unit_Price]]-Table1[[#This Row],[Cost_Price]])*Table1[[#This Row],[Quantity]]</f>
        <v>3635</v>
      </c>
      <c r="P756">
        <f t="shared" si="11"/>
        <v>4385</v>
      </c>
      <c r="Q756" t="str">
        <f>TEXT(Table1[[#This Row],[Order_Date]],"mmm-yyyy")</f>
        <v>Aug-2024</v>
      </c>
    </row>
    <row r="757" spans="1:17" x14ac:dyDescent="0.35">
      <c r="A757" t="s">
        <v>1114</v>
      </c>
      <c r="B757" t="s">
        <v>135</v>
      </c>
      <c r="C757" t="s">
        <v>42</v>
      </c>
      <c r="D757" t="s">
        <v>37</v>
      </c>
      <c r="E757" t="s">
        <v>12</v>
      </c>
      <c r="F757" t="s">
        <v>23</v>
      </c>
      <c r="G757">
        <v>2</v>
      </c>
      <c r="H757">
        <v>1079</v>
      </c>
      <c r="I757" t="str">
        <f>VLOOKUP(D757,Product_Master!A:D,2,FALSE)</f>
        <v>Mobile</v>
      </c>
      <c r="J757" t="str">
        <f>VLOOKUP(D757,Product_Master!A:D,3,FALSE)</f>
        <v>Electronics</v>
      </c>
      <c r="K757">
        <f>VLOOKUP(D757,Product_Master!A:D,4,FALSE)</f>
        <v>600</v>
      </c>
      <c r="L757" t="str">
        <f>VLOOKUP(C757,Customer_Master!A:C,2,FALSE)</f>
        <v>Ramesh</v>
      </c>
      <c r="M757" t="str">
        <f>VLOOKUP(C757,Customer_Master!A:C,3,FALSE)</f>
        <v>Consumer</v>
      </c>
      <c r="N757">
        <f>Table1[[#This Row],[Quantity]]*Table1[[#This Row],[Unit_Price]]</f>
        <v>2158</v>
      </c>
      <c r="O757">
        <f>(Table1[[#This Row],[Unit_Price]]-Table1[[#This Row],[Cost_Price]])*Table1[[#This Row],[Quantity]]</f>
        <v>958</v>
      </c>
      <c r="P757">
        <f t="shared" si="11"/>
        <v>2158</v>
      </c>
      <c r="Q757" t="str">
        <f>TEXT(Table1[[#This Row],[Order_Date]],"mmm-yyyy")</f>
        <v>Jul-2024</v>
      </c>
    </row>
    <row r="758" spans="1:17" x14ac:dyDescent="0.35">
      <c r="A758" t="s">
        <v>1115</v>
      </c>
      <c r="B758" t="s">
        <v>717</v>
      </c>
      <c r="C758" t="s">
        <v>10</v>
      </c>
      <c r="D758" t="s">
        <v>37</v>
      </c>
      <c r="E758" t="s">
        <v>27</v>
      </c>
      <c r="F758" t="s">
        <v>18</v>
      </c>
      <c r="G758">
        <v>7</v>
      </c>
      <c r="H758">
        <v>1631</v>
      </c>
      <c r="I758" t="str">
        <f>VLOOKUP(D758,Product_Master!A:D,2,FALSE)</f>
        <v>Mobile</v>
      </c>
      <c r="J758" t="str">
        <f>VLOOKUP(D758,Product_Master!A:D,3,FALSE)</f>
        <v>Electronics</v>
      </c>
      <c r="K758">
        <f>VLOOKUP(D758,Product_Master!A:D,4,FALSE)</f>
        <v>600</v>
      </c>
      <c r="L758" t="str">
        <f>VLOOKUP(C758,Customer_Master!A:C,2,FALSE)</f>
        <v>Suresh</v>
      </c>
      <c r="M758" t="str">
        <f>VLOOKUP(C758,Customer_Master!A:C,3,FALSE)</f>
        <v>Consumer</v>
      </c>
      <c r="N758">
        <f>Table1[[#This Row],[Quantity]]*Table1[[#This Row],[Unit_Price]]</f>
        <v>11417</v>
      </c>
      <c r="O758">
        <f>(Table1[[#This Row],[Unit_Price]]-Table1[[#This Row],[Cost_Price]])*Table1[[#This Row],[Quantity]]</f>
        <v>7217</v>
      </c>
      <c r="P758">
        <f t="shared" si="11"/>
        <v>11417</v>
      </c>
      <c r="Q758" t="str">
        <f>TEXT(Table1[[#This Row],[Order_Date]],"mmm-yyyy")</f>
        <v>Sep-2024</v>
      </c>
    </row>
    <row r="759" spans="1:17" x14ac:dyDescent="0.35">
      <c r="A759" t="s">
        <v>1116</v>
      </c>
      <c r="B759" t="s">
        <v>233</v>
      </c>
      <c r="C759" t="s">
        <v>30</v>
      </c>
      <c r="D759" t="s">
        <v>11</v>
      </c>
      <c r="E759" t="s">
        <v>33</v>
      </c>
      <c r="F759" t="s">
        <v>13</v>
      </c>
      <c r="G759">
        <v>6</v>
      </c>
      <c r="H759">
        <v>1483</v>
      </c>
      <c r="I759" t="str">
        <f>VLOOKUP(D759,Product_Master!A:D,2,FALSE)</f>
        <v>Chair</v>
      </c>
      <c r="J759" t="str">
        <f>VLOOKUP(D759,Product_Master!A:D,3,FALSE)</f>
        <v>Furniture</v>
      </c>
      <c r="K759">
        <f>VLOOKUP(D759,Product_Master!A:D,4,FALSE)</f>
        <v>150</v>
      </c>
      <c r="L759" t="str">
        <f>VLOOKUP(C759,Customer_Master!A:C,2,FALSE)</f>
        <v>Infosys</v>
      </c>
      <c r="M759" t="str">
        <f>VLOOKUP(C759,Customer_Master!A:C,3,FALSE)</f>
        <v>Corporate</v>
      </c>
      <c r="N759">
        <f>Table1[[#This Row],[Quantity]]*Table1[[#This Row],[Unit_Price]]</f>
        <v>8898</v>
      </c>
      <c r="O759">
        <f>(Table1[[#This Row],[Unit_Price]]-Table1[[#This Row],[Cost_Price]])*Table1[[#This Row],[Quantity]]</f>
        <v>7998</v>
      </c>
      <c r="P759">
        <f t="shared" si="11"/>
        <v>8898</v>
      </c>
      <c r="Q759" t="str">
        <f>TEXT(Table1[[#This Row],[Order_Date]],"mmm-yyyy")</f>
        <v>Aug-2024</v>
      </c>
    </row>
    <row r="760" spans="1:17" x14ac:dyDescent="0.35">
      <c r="A760" t="s">
        <v>1117</v>
      </c>
      <c r="B760" t="s">
        <v>55</v>
      </c>
      <c r="C760" t="s">
        <v>21</v>
      </c>
      <c r="D760" t="s">
        <v>37</v>
      </c>
      <c r="E760" t="s">
        <v>17</v>
      </c>
      <c r="F760" t="s">
        <v>18</v>
      </c>
      <c r="G760">
        <v>2</v>
      </c>
      <c r="H760">
        <v>1604</v>
      </c>
      <c r="I760" t="str">
        <f>VLOOKUP(D760,Product_Master!A:D,2,FALSE)</f>
        <v>Mobile</v>
      </c>
      <c r="J760" t="str">
        <f>VLOOKUP(D760,Product_Master!A:D,3,FALSE)</f>
        <v>Electronics</v>
      </c>
      <c r="K760">
        <f>VLOOKUP(D760,Product_Master!A:D,4,FALSE)</f>
        <v>600</v>
      </c>
      <c r="L760" t="str">
        <f>VLOOKUP(C760,Customer_Master!A:C,2,FALSE)</f>
        <v>Reliance</v>
      </c>
      <c r="M760" t="str">
        <f>VLOOKUP(C760,Customer_Master!A:C,3,FALSE)</f>
        <v>Corporate</v>
      </c>
      <c r="N760">
        <f>Table1[[#This Row],[Quantity]]*Table1[[#This Row],[Unit_Price]]</f>
        <v>3208</v>
      </c>
      <c r="O760">
        <f>(Table1[[#This Row],[Unit_Price]]-Table1[[#This Row],[Cost_Price]])*Table1[[#This Row],[Quantity]]</f>
        <v>2008</v>
      </c>
      <c r="P760">
        <f t="shared" si="11"/>
        <v>3208</v>
      </c>
      <c r="Q760" t="str">
        <f>TEXT(Table1[[#This Row],[Order_Date]],"mmm-yyyy")</f>
        <v>Feb-2024</v>
      </c>
    </row>
    <row r="761" spans="1:17" x14ac:dyDescent="0.35">
      <c r="A761" t="s">
        <v>1118</v>
      </c>
      <c r="B761" t="s">
        <v>130</v>
      </c>
      <c r="C761" t="s">
        <v>30</v>
      </c>
      <c r="D761" t="s">
        <v>16</v>
      </c>
      <c r="E761" t="s">
        <v>17</v>
      </c>
      <c r="F761" t="s">
        <v>13</v>
      </c>
      <c r="G761">
        <v>6</v>
      </c>
      <c r="H761">
        <v>1714</v>
      </c>
      <c r="I761" t="str">
        <f>VLOOKUP(D761,Product_Master!A:D,2,FALSE)</f>
        <v>Printer</v>
      </c>
      <c r="J761" t="str">
        <f>VLOOKUP(D761,Product_Master!A:D,3,FALSE)</f>
        <v>Electronics</v>
      </c>
      <c r="K761">
        <f>VLOOKUP(D761,Product_Master!A:D,4,FALSE)</f>
        <v>1100</v>
      </c>
      <c r="L761" t="str">
        <f>VLOOKUP(C761,Customer_Master!A:C,2,FALSE)</f>
        <v>Infosys</v>
      </c>
      <c r="M761" t="str">
        <f>VLOOKUP(C761,Customer_Master!A:C,3,FALSE)</f>
        <v>Corporate</v>
      </c>
      <c r="N761">
        <f>Table1[[#This Row],[Quantity]]*Table1[[#This Row],[Unit_Price]]</f>
        <v>10284</v>
      </c>
      <c r="O761">
        <f>(Table1[[#This Row],[Unit_Price]]-Table1[[#This Row],[Cost_Price]])*Table1[[#This Row],[Quantity]]</f>
        <v>3684</v>
      </c>
      <c r="P761">
        <f t="shared" si="11"/>
        <v>10284</v>
      </c>
      <c r="Q761" t="str">
        <f>TEXT(Table1[[#This Row],[Order_Date]],"mmm-yyyy")</f>
        <v>May-2024</v>
      </c>
    </row>
    <row r="762" spans="1:17" x14ac:dyDescent="0.35">
      <c r="A762" t="s">
        <v>1119</v>
      </c>
      <c r="B762" t="s">
        <v>346</v>
      </c>
      <c r="C762" t="s">
        <v>10</v>
      </c>
      <c r="D762" t="s">
        <v>37</v>
      </c>
      <c r="E762" t="s">
        <v>33</v>
      </c>
      <c r="F762" t="s">
        <v>34</v>
      </c>
      <c r="G762">
        <v>8</v>
      </c>
      <c r="H762">
        <v>1043</v>
      </c>
      <c r="I762" t="str">
        <f>VLOOKUP(D762,Product_Master!A:D,2,FALSE)</f>
        <v>Mobile</v>
      </c>
      <c r="J762" t="str">
        <f>VLOOKUP(D762,Product_Master!A:D,3,FALSE)</f>
        <v>Electronics</v>
      </c>
      <c r="K762">
        <f>VLOOKUP(D762,Product_Master!A:D,4,FALSE)</f>
        <v>600</v>
      </c>
      <c r="L762" t="str">
        <f>VLOOKUP(C762,Customer_Master!A:C,2,FALSE)</f>
        <v>Suresh</v>
      </c>
      <c r="M762" t="str">
        <f>VLOOKUP(C762,Customer_Master!A:C,3,FALSE)</f>
        <v>Consumer</v>
      </c>
      <c r="N762">
        <f>Table1[[#This Row],[Quantity]]*Table1[[#This Row],[Unit_Price]]</f>
        <v>8344</v>
      </c>
      <c r="O762">
        <f>(Table1[[#This Row],[Unit_Price]]-Table1[[#This Row],[Cost_Price]])*Table1[[#This Row],[Quantity]]</f>
        <v>3544</v>
      </c>
      <c r="P762">
        <f t="shared" si="11"/>
        <v>8344</v>
      </c>
      <c r="Q762" t="str">
        <f>TEXT(Table1[[#This Row],[Order_Date]],"mmm-yyyy")</f>
        <v>Mar-2024</v>
      </c>
    </row>
    <row r="763" spans="1:17" x14ac:dyDescent="0.35">
      <c r="A763" t="s">
        <v>1120</v>
      </c>
      <c r="B763" t="s">
        <v>179</v>
      </c>
      <c r="C763" t="s">
        <v>21</v>
      </c>
      <c r="D763" t="s">
        <v>22</v>
      </c>
      <c r="E763" t="s">
        <v>12</v>
      </c>
      <c r="F763" t="s">
        <v>34</v>
      </c>
      <c r="G763">
        <v>6</v>
      </c>
      <c r="H763">
        <v>1036</v>
      </c>
      <c r="I763" t="str">
        <f>VLOOKUP(D763,Product_Master!A:D,2,FALSE)</f>
        <v>Desk</v>
      </c>
      <c r="J763" t="str">
        <f>VLOOKUP(D763,Product_Master!A:D,3,FALSE)</f>
        <v>Furniture</v>
      </c>
      <c r="K763">
        <f>VLOOKUP(D763,Product_Master!A:D,4,FALSE)</f>
        <v>300</v>
      </c>
      <c r="L763" t="str">
        <f>VLOOKUP(C763,Customer_Master!A:C,2,FALSE)</f>
        <v>Reliance</v>
      </c>
      <c r="M763" t="str">
        <f>VLOOKUP(C763,Customer_Master!A:C,3,FALSE)</f>
        <v>Corporate</v>
      </c>
      <c r="N763">
        <f>Table1[[#This Row],[Quantity]]*Table1[[#This Row],[Unit_Price]]</f>
        <v>6216</v>
      </c>
      <c r="O763">
        <f>(Table1[[#This Row],[Unit_Price]]-Table1[[#This Row],[Cost_Price]])*Table1[[#This Row],[Quantity]]</f>
        <v>4416</v>
      </c>
      <c r="P763">
        <f t="shared" si="11"/>
        <v>6216</v>
      </c>
      <c r="Q763" t="str">
        <f>TEXT(Table1[[#This Row],[Order_Date]],"mmm-yyyy")</f>
        <v>Dec-2024</v>
      </c>
    </row>
    <row r="764" spans="1:17" x14ac:dyDescent="0.35">
      <c r="A764" t="s">
        <v>1121</v>
      </c>
      <c r="B764" t="s">
        <v>472</v>
      </c>
      <c r="C764" t="s">
        <v>45</v>
      </c>
      <c r="D764" t="s">
        <v>37</v>
      </c>
      <c r="E764" t="s">
        <v>12</v>
      </c>
      <c r="F764" t="s">
        <v>34</v>
      </c>
      <c r="G764">
        <v>5</v>
      </c>
      <c r="H764">
        <v>1676</v>
      </c>
      <c r="I764" t="str">
        <f>VLOOKUP(D764,Product_Master!A:D,2,FALSE)</f>
        <v>Mobile</v>
      </c>
      <c r="J764" t="str">
        <f>VLOOKUP(D764,Product_Master!A:D,3,FALSE)</f>
        <v>Electronics</v>
      </c>
      <c r="K764">
        <f>VLOOKUP(D764,Product_Master!A:D,4,FALSE)</f>
        <v>600</v>
      </c>
      <c r="L764" t="str">
        <f>VLOOKUP(C764,Customer_Master!A:C,2,FALSE)</f>
        <v>TCS</v>
      </c>
      <c r="M764" t="str">
        <f>VLOOKUP(C764,Customer_Master!A:C,3,FALSE)</f>
        <v>Corporate</v>
      </c>
      <c r="N764">
        <f>Table1[[#This Row],[Quantity]]*Table1[[#This Row],[Unit_Price]]</f>
        <v>8380</v>
      </c>
      <c r="O764">
        <f>(Table1[[#This Row],[Unit_Price]]-Table1[[#This Row],[Cost_Price]])*Table1[[#This Row],[Quantity]]</f>
        <v>5380</v>
      </c>
      <c r="P764">
        <f t="shared" si="11"/>
        <v>8380</v>
      </c>
      <c r="Q764" t="str">
        <f>TEXT(Table1[[#This Row],[Order_Date]],"mmm-yyyy")</f>
        <v>May-2024</v>
      </c>
    </row>
    <row r="765" spans="1:17" x14ac:dyDescent="0.35">
      <c r="A765" t="s">
        <v>1122</v>
      </c>
      <c r="B765" t="s">
        <v>242</v>
      </c>
      <c r="C765" t="s">
        <v>42</v>
      </c>
      <c r="D765" t="s">
        <v>11</v>
      </c>
      <c r="E765" t="s">
        <v>17</v>
      </c>
      <c r="F765" t="s">
        <v>34</v>
      </c>
      <c r="G765">
        <v>1</v>
      </c>
      <c r="H765">
        <v>1090</v>
      </c>
      <c r="I765" t="str">
        <f>VLOOKUP(D765,Product_Master!A:D,2,FALSE)</f>
        <v>Chair</v>
      </c>
      <c r="J765" t="str">
        <f>VLOOKUP(D765,Product_Master!A:D,3,FALSE)</f>
        <v>Furniture</v>
      </c>
      <c r="K765">
        <f>VLOOKUP(D765,Product_Master!A:D,4,FALSE)</f>
        <v>150</v>
      </c>
      <c r="L765" t="str">
        <f>VLOOKUP(C765,Customer_Master!A:C,2,FALSE)</f>
        <v>Ramesh</v>
      </c>
      <c r="M765" t="str">
        <f>VLOOKUP(C765,Customer_Master!A:C,3,FALSE)</f>
        <v>Consumer</v>
      </c>
      <c r="N765">
        <f>Table1[[#This Row],[Quantity]]*Table1[[#This Row],[Unit_Price]]</f>
        <v>1090</v>
      </c>
      <c r="O765">
        <f>(Table1[[#This Row],[Unit_Price]]-Table1[[#This Row],[Cost_Price]])*Table1[[#This Row],[Quantity]]</f>
        <v>940</v>
      </c>
      <c r="P765">
        <f t="shared" si="11"/>
        <v>1090</v>
      </c>
      <c r="Q765" t="str">
        <f>TEXT(Table1[[#This Row],[Order_Date]],"mmm-yyyy")</f>
        <v>May-2024</v>
      </c>
    </row>
    <row r="766" spans="1:17" x14ac:dyDescent="0.35">
      <c r="A766" t="s">
        <v>1123</v>
      </c>
      <c r="B766" t="s">
        <v>130</v>
      </c>
      <c r="C766" t="s">
        <v>42</v>
      </c>
      <c r="D766" t="s">
        <v>26</v>
      </c>
      <c r="E766" t="s">
        <v>27</v>
      </c>
      <c r="F766" t="s">
        <v>23</v>
      </c>
      <c r="G766">
        <v>2</v>
      </c>
      <c r="H766">
        <v>1520</v>
      </c>
      <c r="I766" t="str">
        <f>VLOOKUP(D766,Product_Master!A:D,2,FALSE)</f>
        <v>Laptop</v>
      </c>
      <c r="J766" t="str">
        <f>VLOOKUP(D766,Product_Master!A:D,3,FALSE)</f>
        <v>Electronics</v>
      </c>
      <c r="K766">
        <f>VLOOKUP(D766,Product_Master!A:D,4,FALSE)</f>
        <v>900</v>
      </c>
      <c r="L766" t="str">
        <f>VLOOKUP(C766,Customer_Master!A:C,2,FALSE)</f>
        <v>Ramesh</v>
      </c>
      <c r="M766" t="str">
        <f>VLOOKUP(C766,Customer_Master!A:C,3,FALSE)</f>
        <v>Consumer</v>
      </c>
      <c r="N766">
        <f>Table1[[#This Row],[Quantity]]*Table1[[#This Row],[Unit_Price]]</f>
        <v>3040</v>
      </c>
      <c r="O766">
        <f>(Table1[[#This Row],[Unit_Price]]-Table1[[#This Row],[Cost_Price]])*Table1[[#This Row],[Quantity]]</f>
        <v>1240</v>
      </c>
      <c r="P766">
        <f t="shared" si="11"/>
        <v>3040</v>
      </c>
      <c r="Q766" t="str">
        <f>TEXT(Table1[[#This Row],[Order_Date]],"mmm-yyyy")</f>
        <v>May-2024</v>
      </c>
    </row>
    <row r="767" spans="1:17" x14ac:dyDescent="0.35">
      <c r="A767" t="s">
        <v>1124</v>
      </c>
      <c r="B767" t="s">
        <v>233</v>
      </c>
      <c r="C767" t="s">
        <v>42</v>
      </c>
      <c r="D767" t="s">
        <v>11</v>
      </c>
      <c r="E767" t="s">
        <v>12</v>
      </c>
      <c r="F767" t="s">
        <v>18</v>
      </c>
      <c r="G767">
        <v>10</v>
      </c>
      <c r="H767">
        <v>1796</v>
      </c>
      <c r="I767" t="str">
        <f>VLOOKUP(D767,Product_Master!A:D,2,FALSE)</f>
        <v>Chair</v>
      </c>
      <c r="J767" t="str">
        <f>VLOOKUP(D767,Product_Master!A:D,3,FALSE)</f>
        <v>Furniture</v>
      </c>
      <c r="K767">
        <f>VLOOKUP(D767,Product_Master!A:D,4,FALSE)</f>
        <v>150</v>
      </c>
      <c r="L767" t="str">
        <f>VLOOKUP(C767,Customer_Master!A:C,2,FALSE)</f>
        <v>Ramesh</v>
      </c>
      <c r="M767" t="str">
        <f>VLOOKUP(C767,Customer_Master!A:C,3,FALSE)</f>
        <v>Consumer</v>
      </c>
      <c r="N767">
        <f>Table1[[#This Row],[Quantity]]*Table1[[#This Row],[Unit_Price]]</f>
        <v>17960</v>
      </c>
      <c r="O767">
        <f>(Table1[[#This Row],[Unit_Price]]-Table1[[#This Row],[Cost_Price]])*Table1[[#This Row],[Quantity]]</f>
        <v>16460</v>
      </c>
      <c r="P767">
        <f t="shared" si="11"/>
        <v>17960</v>
      </c>
      <c r="Q767" t="str">
        <f>TEXT(Table1[[#This Row],[Order_Date]],"mmm-yyyy")</f>
        <v>Aug-2024</v>
      </c>
    </row>
    <row r="768" spans="1:17" x14ac:dyDescent="0.35">
      <c r="A768" t="s">
        <v>1125</v>
      </c>
      <c r="B768" t="s">
        <v>877</v>
      </c>
      <c r="C768" t="s">
        <v>30</v>
      </c>
      <c r="D768" t="s">
        <v>22</v>
      </c>
      <c r="E768" t="s">
        <v>27</v>
      </c>
      <c r="F768" t="s">
        <v>23</v>
      </c>
      <c r="G768">
        <v>7</v>
      </c>
      <c r="H768">
        <v>1370</v>
      </c>
      <c r="I768" t="str">
        <f>VLOOKUP(D768,Product_Master!A:D,2,FALSE)</f>
        <v>Desk</v>
      </c>
      <c r="J768" t="str">
        <f>VLOOKUP(D768,Product_Master!A:D,3,FALSE)</f>
        <v>Furniture</v>
      </c>
      <c r="K768">
        <f>VLOOKUP(D768,Product_Master!A:D,4,FALSE)</f>
        <v>300</v>
      </c>
      <c r="L768" t="str">
        <f>VLOOKUP(C768,Customer_Master!A:C,2,FALSE)</f>
        <v>Infosys</v>
      </c>
      <c r="M768" t="str">
        <f>VLOOKUP(C768,Customer_Master!A:C,3,FALSE)</f>
        <v>Corporate</v>
      </c>
      <c r="N768">
        <f>Table1[[#This Row],[Quantity]]*Table1[[#This Row],[Unit_Price]]</f>
        <v>9590</v>
      </c>
      <c r="O768">
        <f>(Table1[[#This Row],[Unit_Price]]-Table1[[#This Row],[Cost_Price]])*Table1[[#This Row],[Quantity]]</f>
        <v>7490</v>
      </c>
      <c r="P768">
        <f t="shared" si="11"/>
        <v>9590</v>
      </c>
      <c r="Q768" t="str">
        <f>TEXT(Table1[[#This Row],[Order_Date]],"mmm-yyyy")</f>
        <v>Sep-2024</v>
      </c>
    </row>
    <row r="769" spans="1:17" x14ac:dyDescent="0.35">
      <c r="A769" t="s">
        <v>1126</v>
      </c>
      <c r="B769" t="s">
        <v>200</v>
      </c>
      <c r="C769" t="s">
        <v>21</v>
      </c>
      <c r="D769" t="s">
        <v>11</v>
      </c>
      <c r="E769" t="s">
        <v>33</v>
      </c>
      <c r="F769" t="s">
        <v>13</v>
      </c>
      <c r="G769">
        <v>10</v>
      </c>
      <c r="H769">
        <v>1336</v>
      </c>
      <c r="I769" t="str">
        <f>VLOOKUP(D769,Product_Master!A:D,2,FALSE)</f>
        <v>Chair</v>
      </c>
      <c r="J769" t="str">
        <f>VLOOKUP(D769,Product_Master!A:D,3,FALSE)</f>
        <v>Furniture</v>
      </c>
      <c r="K769">
        <f>VLOOKUP(D769,Product_Master!A:D,4,FALSE)</f>
        <v>150</v>
      </c>
      <c r="L769" t="str">
        <f>VLOOKUP(C769,Customer_Master!A:C,2,FALSE)</f>
        <v>Reliance</v>
      </c>
      <c r="M769" t="str">
        <f>VLOOKUP(C769,Customer_Master!A:C,3,FALSE)</f>
        <v>Corporate</v>
      </c>
      <c r="N769">
        <f>Table1[[#This Row],[Quantity]]*Table1[[#This Row],[Unit_Price]]</f>
        <v>13360</v>
      </c>
      <c r="O769">
        <f>(Table1[[#This Row],[Unit_Price]]-Table1[[#This Row],[Cost_Price]])*Table1[[#This Row],[Quantity]]</f>
        <v>11860</v>
      </c>
      <c r="P769">
        <f t="shared" si="11"/>
        <v>13360</v>
      </c>
      <c r="Q769" t="str">
        <f>TEXT(Table1[[#This Row],[Order_Date]],"mmm-yyyy")</f>
        <v>Dec-2024</v>
      </c>
    </row>
    <row r="770" spans="1:17" x14ac:dyDescent="0.35">
      <c r="A770" t="s">
        <v>1127</v>
      </c>
      <c r="B770" t="s">
        <v>325</v>
      </c>
      <c r="C770" t="s">
        <v>42</v>
      </c>
      <c r="D770" t="s">
        <v>26</v>
      </c>
      <c r="E770" t="s">
        <v>17</v>
      </c>
      <c r="F770" t="s">
        <v>34</v>
      </c>
      <c r="G770">
        <v>7</v>
      </c>
      <c r="H770">
        <v>1155</v>
      </c>
      <c r="I770" t="str">
        <f>VLOOKUP(D770,Product_Master!A:D,2,FALSE)</f>
        <v>Laptop</v>
      </c>
      <c r="J770" t="str">
        <f>VLOOKUP(D770,Product_Master!A:D,3,FALSE)</f>
        <v>Electronics</v>
      </c>
      <c r="K770">
        <f>VLOOKUP(D770,Product_Master!A:D,4,FALSE)</f>
        <v>900</v>
      </c>
      <c r="L770" t="str">
        <f>VLOOKUP(C770,Customer_Master!A:C,2,FALSE)</f>
        <v>Ramesh</v>
      </c>
      <c r="M770" t="str">
        <f>VLOOKUP(C770,Customer_Master!A:C,3,FALSE)</f>
        <v>Consumer</v>
      </c>
      <c r="N770">
        <f>Table1[[#This Row],[Quantity]]*Table1[[#This Row],[Unit_Price]]</f>
        <v>8085</v>
      </c>
      <c r="O770">
        <f>(Table1[[#This Row],[Unit_Price]]-Table1[[#This Row],[Cost_Price]])*Table1[[#This Row],[Quantity]]</f>
        <v>1785</v>
      </c>
      <c r="P770">
        <f t="shared" ref="P770:P833" si="12">VALUE(N770)</f>
        <v>8085</v>
      </c>
      <c r="Q770" t="str">
        <f>TEXT(Table1[[#This Row],[Order_Date]],"mmm-yyyy")</f>
        <v>Dec-2024</v>
      </c>
    </row>
    <row r="771" spans="1:17" x14ac:dyDescent="0.35">
      <c r="A771" t="s">
        <v>1128</v>
      </c>
      <c r="B771" t="s">
        <v>501</v>
      </c>
      <c r="C771" t="s">
        <v>21</v>
      </c>
      <c r="D771" t="s">
        <v>11</v>
      </c>
      <c r="E771" t="s">
        <v>17</v>
      </c>
      <c r="F771" t="s">
        <v>13</v>
      </c>
      <c r="G771">
        <v>9</v>
      </c>
      <c r="H771">
        <v>1503</v>
      </c>
      <c r="I771" t="str">
        <f>VLOOKUP(D771,Product_Master!A:D,2,FALSE)</f>
        <v>Chair</v>
      </c>
      <c r="J771" t="str">
        <f>VLOOKUP(D771,Product_Master!A:D,3,FALSE)</f>
        <v>Furniture</v>
      </c>
      <c r="K771">
        <f>VLOOKUP(D771,Product_Master!A:D,4,FALSE)</f>
        <v>150</v>
      </c>
      <c r="L771" t="str">
        <f>VLOOKUP(C771,Customer_Master!A:C,2,FALSE)</f>
        <v>Reliance</v>
      </c>
      <c r="M771" t="str">
        <f>VLOOKUP(C771,Customer_Master!A:C,3,FALSE)</f>
        <v>Corporate</v>
      </c>
      <c r="N771">
        <f>Table1[[#This Row],[Quantity]]*Table1[[#This Row],[Unit_Price]]</f>
        <v>13527</v>
      </c>
      <c r="O771">
        <f>(Table1[[#This Row],[Unit_Price]]-Table1[[#This Row],[Cost_Price]])*Table1[[#This Row],[Quantity]]</f>
        <v>12177</v>
      </c>
      <c r="P771">
        <f t="shared" si="12"/>
        <v>13527</v>
      </c>
      <c r="Q771" t="str">
        <f>TEXT(Table1[[#This Row],[Order_Date]],"mmm-yyyy")</f>
        <v>Jun-2024</v>
      </c>
    </row>
    <row r="772" spans="1:17" x14ac:dyDescent="0.35">
      <c r="A772" t="s">
        <v>1129</v>
      </c>
      <c r="B772" t="s">
        <v>294</v>
      </c>
      <c r="C772" t="s">
        <v>42</v>
      </c>
      <c r="D772" t="s">
        <v>26</v>
      </c>
      <c r="E772" t="s">
        <v>17</v>
      </c>
      <c r="F772" t="s">
        <v>23</v>
      </c>
      <c r="G772">
        <v>7</v>
      </c>
      <c r="H772">
        <v>923</v>
      </c>
      <c r="I772" t="str">
        <f>VLOOKUP(D772,Product_Master!A:D,2,FALSE)</f>
        <v>Laptop</v>
      </c>
      <c r="J772" t="str">
        <f>VLOOKUP(D772,Product_Master!A:D,3,FALSE)</f>
        <v>Electronics</v>
      </c>
      <c r="K772">
        <f>VLOOKUP(D772,Product_Master!A:D,4,FALSE)</f>
        <v>900</v>
      </c>
      <c r="L772" t="str">
        <f>VLOOKUP(C772,Customer_Master!A:C,2,FALSE)</f>
        <v>Ramesh</v>
      </c>
      <c r="M772" t="str">
        <f>VLOOKUP(C772,Customer_Master!A:C,3,FALSE)</f>
        <v>Consumer</v>
      </c>
      <c r="N772">
        <f>Table1[[#This Row],[Quantity]]*Table1[[#This Row],[Unit_Price]]</f>
        <v>6461</v>
      </c>
      <c r="O772">
        <f>(Table1[[#This Row],[Unit_Price]]-Table1[[#This Row],[Cost_Price]])*Table1[[#This Row],[Quantity]]</f>
        <v>161</v>
      </c>
      <c r="P772">
        <f t="shared" si="12"/>
        <v>6461</v>
      </c>
      <c r="Q772" t="str">
        <f>TEXT(Table1[[#This Row],[Order_Date]],"mmm-yyyy")</f>
        <v>Jun-2024</v>
      </c>
    </row>
    <row r="773" spans="1:17" x14ac:dyDescent="0.35">
      <c r="A773" t="s">
        <v>1130</v>
      </c>
      <c r="B773" t="s">
        <v>995</v>
      </c>
      <c r="C773" t="s">
        <v>10</v>
      </c>
      <c r="D773" t="s">
        <v>22</v>
      </c>
      <c r="E773" t="s">
        <v>12</v>
      </c>
      <c r="F773" t="s">
        <v>13</v>
      </c>
      <c r="G773">
        <v>8</v>
      </c>
      <c r="H773">
        <v>1583</v>
      </c>
      <c r="I773" t="str">
        <f>VLOOKUP(D773,Product_Master!A:D,2,FALSE)</f>
        <v>Desk</v>
      </c>
      <c r="J773" t="str">
        <f>VLOOKUP(D773,Product_Master!A:D,3,FALSE)</f>
        <v>Furniture</v>
      </c>
      <c r="K773">
        <f>VLOOKUP(D773,Product_Master!A:D,4,FALSE)</f>
        <v>300</v>
      </c>
      <c r="L773" t="str">
        <f>VLOOKUP(C773,Customer_Master!A:C,2,FALSE)</f>
        <v>Suresh</v>
      </c>
      <c r="M773" t="str">
        <f>VLOOKUP(C773,Customer_Master!A:C,3,FALSE)</f>
        <v>Consumer</v>
      </c>
      <c r="N773">
        <f>Table1[[#This Row],[Quantity]]*Table1[[#This Row],[Unit_Price]]</f>
        <v>12664</v>
      </c>
      <c r="O773">
        <f>(Table1[[#This Row],[Unit_Price]]-Table1[[#This Row],[Cost_Price]])*Table1[[#This Row],[Quantity]]</f>
        <v>10264</v>
      </c>
      <c r="P773">
        <f t="shared" si="12"/>
        <v>12664</v>
      </c>
      <c r="Q773" t="str">
        <f>TEXT(Table1[[#This Row],[Order_Date]],"mmm-yyyy")</f>
        <v>Mar-2024</v>
      </c>
    </row>
    <row r="774" spans="1:17" x14ac:dyDescent="0.35">
      <c r="A774" t="s">
        <v>1131</v>
      </c>
      <c r="B774" t="s">
        <v>490</v>
      </c>
      <c r="C774" t="s">
        <v>42</v>
      </c>
      <c r="D774" t="s">
        <v>37</v>
      </c>
      <c r="E774" t="s">
        <v>12</v>
      </c>
      <c r="F774" t="s">
        <v>23</v>
      </c>
      <c r="G774">
        <v>3</v>
      </c>
      <c r="H774">
        <v>1151</v>
      </c>
      <c r="I774" t="str">
        <f>VLOOKUP(D774,Product_Master!A:D,2,FALSE)</f>
        <v>Mobile</v>
      </c>
      <c r="J774" t="str">
        <f>VLOOKUP(D774,Product_Master!A:D,3,FALSE)</f>
        <v>Electronics</v>
      </c>
      <c r="K774">
        <f>VLOOKUP(D774,Product_Master!A:D,4,FALSE)</f>
        <v>600</v>
      </c>
      <c r="L774" t="str">
        <f>VLOOKUP(C774,Customer_Master!A:C,2,FALSE)</f>
        <v>Ramesh</v>
      </c>
      <c r="M774" t="str">
        <f>VLOOKUP(C774,Customer_Master!A:C,3,FALSE)</f>
        <v>Consumer</v>
      </c>
      <c r="N774">
        <f>Table1[[#This Row],[Quantity]]*Table1[[#This Row],[Unit_Price]]</f>
        <v>3453</v>
      </c>
      <c r="O774">
        <f>(Table1[[#This Row],[Unit_Price]]-Table1[[#This Row],[Cost_Price]])*Table1[[#This Row],[Quantity]]</f>
        <v>1653</v>
      </c>
      <c r="P774">
        <f t="shared" si="12"/>
        <v>3453</v>
      </c>
      <c r="Q774" t="str">
        <f>TEXT(Table1[[#This Row],[Order_Date]],"mmm-yyyy")</f>
        <v>Aug-2024</v>
      </c>
    </row>
    <row r="775" spans="1:17" x14ac:dyDescent="0.35">
      <c r="A775" t="s">
        <v>1132</v>
      </c>
      <c r="B775" t="s">
        <v>32</v>
      </c>
      <c r="C775" t="s">
        <v>45</v>
      </c>
      <c r="D775" t="s">
        <v>16</v>
      </c>
      <c r="E775" t="s">
        <v>12</v>
      </c>
      <c r="F775" t="s">
        <v>23</v>
      </c>
      <c r="G775">
        <v>3</v>
      </c>
      <c r="H775">
        <v>1656</v>
      </c>
      <c r="I775" t="str">
        <f>VLOOKUP(D775,Product_Master!A:D,2,FALSE)</f>
        <v>Printer</v>
      </c>
      <c r="J775" t="str">
        <f>VLOOKUP(D775,Product_Master!A:D,3,FALSE)</f>
        <v>Electronics</v>
      </c>
      <c r="K775">
        <f>VLOOKUP(D775,Product_Master!A:D,4,FALSE)</f>
        <v>1100</v>
      </c>
      <c r="L775" t="str">
        <f>VLOOKUP(C775,Customer_Master!A:C,2,FALSE)</f>
        <v>TCS</v>
      </c>
      <c r="M775" t="str">
        <f>VLOOKUP(C775,Customer_Master!A:C,3,FALSE)</f>
        <v>Corporate</v>
      </c>
      <c r="N775">
        <f>Table1[[#This Row],[Quantity]]*Table1[[#This Row],[Unit_Price]]</f>
        <v>4968</v>
      </c>
      <c r="O775">
        <f>(Table1[[#This Row],[Unit_Price]]-Table1[[#This Row],[Cost_Price]])*Table1[[#This Row],[Quantity]]</f>
        <v>1668</v>
      </c>
      <c r="P775">
        <f t="shared" si="12"/>
        <v>4968</v>
      </c>
      <c r="Q775" t="str">
        <f>TEXT(Table1[[#This Row],[Order_Date]],"mmm-yyyy")</f>
        <v>Nov-2024</v>
      </c>
    </row>
    <row r="776" spans="1:17" x14ac:dyDescent="0.35">
      <c r="A776" t="s">
        <v>1133</v>
      </c>
      <c r="B776" t="s">
        <v>470</v>
      </c>
      <c r="C776" t="s">
        <v>42</v>
      </c>
      <c r="D776" t="s">
        <v>26</v>
      </c>
      <c r="E776" t="s">
        <v>27</v>
      </c>
      <c r="F776" t="s">
        <v>13</v>
      </c>
      <c r="G776">
        <v>3</v>
      </c>
      <c r="H776">
        <v>1580</v>
      </c>
      <c r="I776" t="str">
        <f>VLOOKUP(D776,Product_Master!A:D,2,FALSE)</f>
        <v>Laptop</v>
      </c>
      <c r="J776" t="str">
        <f>VLOOKUP(D776,Product_Master!A:D,3,FALSE)</f>
        <v>Electronics</v>
      </c>
      <c r="K776">
        <f>VLOOKUP(D776,Product_Master!A:D,4,FALSE)</f>
        <v>900</v>
      </c>
      <c r="L776" t="str">
        <f>VLOOKUP(C776,Customer_Master!A:C,2,FALSE)</f>
        <v>Ramesh</v>
      </c>
      <c r="M776" t="str">
        <f>VLOOKUP(C776,Customer_Master!A:C,3,FALSE)</f>
        <v>Consumer</v>
      </c>
      <c r="N776">
        <f>Table1[[#This Row],[Quantity]]*Table1[[#This Row],[Unit_Price]]</f>
        <v>4740</v>
      </c>
      <c r="O776">
        <f>(Table1[[#This Row],[Unit_Price]]-Table1[[#This Row],[Cost_Price]])*Table1[[#This Row],[Quantity]]</f>
        <v>2040</v>
      </c>
      <c r="P776">
        <f t="shared" si="12"/>
        <v>4740</v>
      </c>
      <c r="Q776" t="str">
        <f>TEXT(Table1[[#This Row],[Order_Date]],"mmm-yyyy")</f>
        <v>Nov-2024</v>
      </c>
    </row>
    <row r="777" spans="1:17" x14ac:dyDescent="0.35">
      <c r="A777" t="s">
        <v>1134</v>
      </c>
      <c r="B777" t="s">
        <v>765</v>
      </c>
      <c r="C777" t="s">
        <v>10</v>
      </c>
      <c r="D777" t="s">
        <v>22</v>
      </c>
      <c r="E777" t="s">
        <v>27</v>
      </c>
      <c r="F777" t="s">
        <v>34</v>
      </c>
      <c r="G777">
        <v>10</v>
      </c>
      <c r="H777">
        <v>1370</v>
      </c>
      <c r="I777" t="str">
        <f>VLOOKUP(D777,Product_Master!A:D,2,FALSE)</f>
        <v>Desk</v>
      </c>
      <c r="J777" t="str">
        <f>VLOOKUP(D777,Product_Master!A:D,3,FALSE)</f>
        <v>Furniture</v>
      </c>
      <c r="K777">
        <f>VLOOKUP(D777,Product_Master!A:D,4,FALSE)</f>
        <v>300</v>
      </c>
      <c r="L777" t="str">
        <f>VLOOKUP(C777,Customer_Master!A:C,2,FALSE)</f>
        <v>Suresh</v>
      </c>
      <c r="M777" t="str">
        <f>VLOOKUP(C777,Customer_Master!A:C,3,FALSE)</f>
        <v>Consumer</v>
      </c>
      <c r="N777">
        <f>Table1[[#This Row],[Quantity]]*Table1[[#This Row],[Unit_Price]]</f>
        <v>13700</v>
      </c>
      <c r="O777">
        <f>(Table1[[#This Row],[Unit_Price]]-Table1[[#This Row],[Cost_Price]])*Table1[[#This Row],[Quantity]]</f>
        <v>10700</v>
      </c>
      <c r="P777">
        <f t="shared" si="12"/>
        <v>13700</v>
      </c>
      <c r="Q777" t="str">
        <f>TEXT(Table1[[#This Row],[Order_Date]],"mmm-yyyy")</f>
        <v>Dec-2024</v>
      </c>
    </row>
    <row r="778" spans="1:17" x14ac:dyDescent="0.35">
      <c r="A778" t="s">
        <v>1135</v>
      </c>
      <c r="B778" t="s">
        <v>198</v>
      </c>
      <c r="C778" t="s">
        <v>10</v>
      </c>
      <c r="D778" t="s">
        <v>37</v>
      </c>
      <c r="E778" t="s">
        <v>27</v>
      </c>
      <c r="F778" t="s">
        <v>13</v>
      </c>
      <c r="G778">
        <v>1</v>
      </c>
      <c r="H778">
        <v>1580</v>
      </c>
      <c r="I778" t="str">
        <f>VLOOKUP(D778,Product_Master!A:D,2,FALSE)</f>
        <v>Mobile</v>
      </c>
      <c r="J778" t="str">
        <f>VLOOKUP(D778,Product_Master!A:D,3,FALSE)</f>
        <v>Electronics</v>
      </c>
      <c r="K778">
        <f>VLOOKUP(D778,Product_Master!A:D,4,FALSE)</f>
        <v>600</v>
      </c>
      <c r="L778" t="str">
        <f>VLOOKUP(C778,Customer_Master!A:C,2,FALSE)</f>
        <v>Suresh</v>
      </c>
      <c r="M778" t="str">
        <f>VLOOKUP(C778,Customer_Master!A:C,3,FALSE)</f>
        <v>Consumer</v>
      </c>
      <c r="N778">
        <f>Table1[[#This Row],[Quantity]]*Table1[[#This Row],[Unit_Price]]</f>
        <v>1580</v>
      </c>
      <c r="O778">
        <f>(Table1[[#This Row],[Unit_Price]]-Table1[[#This Row],[Cost_Price]])*Table1[[#This Row],[Quantity]]</f>
        <v>980</v>
      </c>
      <c r="P778">
        <f t="shared" si="12"/>
        <v>1580</v>
      </c>
      <c r="Q778" t="str">
        <f>TEXT(Table1[[#This Row],[Order_Date]],"mmm-yyyy")</f>
        <v>Jun-2024</v>
      </c>
    </row>
    <row r="779" spans="1:17" x14ac:dyDescent="0.35">
      <c r="A779" t="s">
        <v>1136</v>
      </c>
      <c r="B779" t="s">
        <v>995</v>
      </c>
      <c r="C779" t="s">
        <v>30</v>
      </c>
      <c r="D779" t="s">
        <v>37</v>
      </c>
      <c r="E779" t="s">
        <v>33</v>
      </c>
      <c r="F779" t="s">
        <v>23</v>
      </c>
      <c r="G779">
        <v>3</v>
      </c>
      <c r="H779">
        <v>857</v>
      </c>
      <c r="I779" t="str">
        <f>VLOOKUP(D779,Product_Master!A:D,2,FALSE)</f>
        <v>Mobile</v>
      </c>
      <c r="J779" t="str">
        <f>VLOOKUP(D779,Product_Master!A:D,3,FALSE)</f>
        <v>Electronics</v>
      </c>
      <c r="K779">
        <f>VLOOKUP(D779,Product_Master!A:D,4,FALSE)</f>
        <v>600</v>
      </c>
      <c r="L779" t="str">
        <f>VLOOKUP(C779,Customer_Master!A:C,2,FALSE)</f>
        <v>Infosys</v>
      </c>
      <c r="M779" t="str">
        <f>VLOOKUP(C779,Customer_Master!A:C,3,FALSE)</f>
        <v>Corporate</v>
      </c>
      <c r="N779">
        <f>Table1[[#This Row],[Quantity]]*Table1[[#This Row],[Unit_Price]]</f>
        <v>2571</v>
      </c>
      <c r="O779">
        <f>(Table1[[#This Row],[Unit_Price]]-Table1[[#This Row],[Cost_Price]])*Table1[[#This Row],[Quantity]]</f>
        <v>771</v>
      </c>
      <c r="P779">
        <f t="shared" si="12"/>
        <v>2571</v>
      </c>
      <c r="Q779" t="str">
        <f>TEXT(Table1[[#This Row],[Order_Date]],"mmm-yyyy")</f>
        <v>Mar-2024</v>
      </c>
    </row>
    <row r="780" spans="1:17" x14ac:dyDescent="0.35">
      <c r="A780" t="s">
        <v>1137</v>
      </c>
      <c r="B780" t="s">
        <v>460</v>
      </c>
      <c r="C780" t="s">
        <v>45</v>
      </c>
      <c r="D780" t="s">
        <v>16</v>
      </c>
      <c r="E780" t="s">
        <v>17</v>
      </c>
      <c r="F780" t="s">
        <v>13</v>
      </c>
      <c r="G780">
        <v>10</v>
      </c>
      <c r="H780">
        <v>842</v>
      </c>
      <c r="I780" t="str">
        <f>VLOOKUP(D780,Product_Master!A:D,2,FALSE)</f>
        <v>Printer</v>
      </c>
      <c r="J780" t="str">
        <f>VLOOKUP(D780,Product_Master!A:D,3,FALSE)</f>
        <v>Electronics</v>
      </c>
      <c r="K780">
        <f>VLOOKUP(D780,Product_Master!A:D,4,FALSE)</f>
        <v>1100</v>
      </c>
      <c r="L780" t="str">
        <f>VLOOKUP(C780,Customer_Master!A:C,2,FALSE)</f>
        <v>TCS</v>
      </c>
      <c r="M780" t="str">
        <f>VLOOKUP(C780,Customer_Master!A:C,3,FALSE)</f>
        <v>Corporate</v>
      </c>
      <c r="N780">
        <f>Table1[[#This Row],[Quantity]]*Table1[[#This Row],[Unit_Price]]</f>
        <v>8420</v>
      </c>
      <c r="O780">
        <f>(Table1[[#This Row],[Unit_Price]]-Table1[[#This Row],[Cost_Price]])*Table1[[#This Row],[Quantity]]</f>
        <v>-2580</v>
      </c>
      <c r="P780">
        <f t="shared" si="12"/>
        <v>8420</v>
      </c>
      <c r="Q780" t="str">
        <f>TEXT(Table1[[#This Row],[Order_Date]],"mmm-yyyy")</f>
        <v>Nov-2024</v>
      </c>
    </row>
    <row r="781" spans="1:17" x14ac:dyDescent="0.35">
      <c r="A781" t="s">
        <v>1138</v>
      </c>
      <c r="B781" t="s">
        <v>447</v>
      </c>
      <c r="C781" t="s">
        <v>30</v>
      </c>
      <c r="D781" t="s">
        <v>26</v>
      </c>
      <c r="E781" t="s">
        <v>33</v>
      </c>
      <c r="F781" t="s">
        <v>34</v>
      </c>
      <c r="G781">
        <v>7</v>
      </c>
      <c r="H781">
        <v>1966</v>
      </c>
      <c r="I781" t="str">
        <f>VLOOKUP(D781,Product_Master!A:D,2,FALSE)</f>
        <v>Laptop</v>
      </c>
      <c r="J781" t="str">
        <f>VLOOKUP(D781,Product_Master!A:D,3,FALSE)</f>
        <v>Electronics</v>
      </c>
      <c r="K781">
        <f>VLOOKUP(D781,Product_Master!A:D,4,FALSE)</f>
        <v>900</v>
      </c>
      <c r="L781" t="str">
        <f>VLOOKUP(C781,Customer_Master!A:C,2,FALSE)</f>
        <v>Infosys</v>
      </c>
      <c r="M781" t="str">
        <f>VLOOKUP(C781,Customer_Master!A:C,3,FALSE)</f>
        <v>Corporate</v>
      </c>
      <c r="N781">
        <f>Table1[[#This Row],[Quantity]]*Table1[[#This Row],[Unit_Price]]</f>
        <v>13762</v>
      </c>
      <c r="O781">
        <f>(Table1[[#This Row],[Unit_Price]]-Table1[[#This Row],[Cost_Price]])*Table1[[#This Row],[Quantity]]</f>
        <v>7462</v>
      </c>
      <c r="P781">
        <f t="shared" si="12"/>
        <v>13762</v>
      </c>
      <c r="Q781" t="str">
        <f>TEXT(Table1[[#This Row],[Order_Date]],"mmm-yyyy")</f>
        <v>Nov-2024</v>
      </c>
    </row>
    <row r="782" spans="1:17" x14ac:dyDescent="0.35">
      <c r="A782" t="s">
        <v>1139</v>
      </c>
      <c r="B782" t="s">
        <v>121</v>
      </c>
      <c r="C782" t="s">
        <v>21</v>
      </c>
      <c r="D782" t="s">
        <v>22</v>
      </c>
      <c r="E782" t="s">
        <v>33</v>
      </c>
      <c r="F782" t="s">
        <v>34</v>
      </c>
      <c r="G782">
        <v>8</v>
      </c>
      <c r="H782">
        <v>1352</v>
      </c>
      <c r="I782" t="str">
        <f>VLOOKUP(D782,Product_Master!A:D,2,FALSE)</f>
        <v>Desk</v>
      </c>
      <c r="J782" t="str">
        <f>VLOOKUP(D782,Product_Master!A:D,3,FALSE)</f>
        <v>Furniture</v>
      </c>
      <c r="K782">
        <f>VLOOKUP(D782,Product_Master!A:D,4,FALSE)</f>
        <v>300</v>
      </c>
      <c r="L782" t="str">
        <f>VLOOKUP(C782,Customer_Master!A:C,2,FALSE)</f>
        <v>Reliance</v>
      </c>
      <c r="M782" t="str">
        <f>VLOOKUP(C782,Customer_Master!A:C,3,FALSE)</f>
        <v>Corporate</v>
      </c>
      <c r="N782">
        <f>Table1[[#This Row],[Quantity]]*Table1[[#This Row],[Unit_Price]]</f>
        <v>10816</v>
      </c>
      <c r="O782">
        <f>(Table1[[#This Row],[Unit_Price]]-Table1[[#This Row],[Cost_Price]])*Table1[[#This Row],[Quantity]]</f>
        <v>8416</v>
      </c>
      <c r="P782">
        <f t="shared" si="12"/>
        <v>10816</v>
      </c>
      <c r="Q782" t="str">
        <f>TEXT(Table1[[#This Row],[Order_Date]],"mmm-yyyy")</f>
        <v>Nov-2024</v>
      </c>
    </row>
    <row r="783" spans="1:17" x14ac:dyDescent="0.35">
      <c r="A783" t="s">
        <v>1140</v>
      </c>
      <c r="B783" t="s">
        <v>775</v>
      </c>
      <c r="C783" t="s">
        <v>10</v>
      </c>
      <c r="D783" t="s">
        <v>26</v>
      </c>
      <c r="E783" t="s">
        <v>27</v>
      </c>
      <c r="F783" t="s">
        <v>23</v>
      </c>
      <c r="G783">
        <v>8</v>
      </c>
      <c r="H783">
        <v>1727</v>
      </c>
      <c r="I783" t="str">
        <f>VLOOKUP(D783,Product_Master!A:D,2,FALSE)</f>
        <v>Laptop</v>
      </c>
      <c r="J783" t="str">
        <f>VLOOKUP(D783,Product_Master!A:D,3,FALSE)</f>
        <v>Electronics</v>
      </c>
      <c r="K783">
        <f>VLOOKUP(D783,Product_Master!A:D,4,FALSE)</f>
        <v>900</v>
      </c>
      <c r="L783" t="str">
        <f>VLOOKUP(C783,Customer_Master!A:C,2,FALSE)</f>
        <v>Suresh</v>
      </c>
      <c r="M783" t="str">
        <f>VLOOKUP(C783,Customer_Master!A:C,3,FALSE)</f>
        <v>Consumer</v>
      </c>
      <c r="N783">
        <f>Table1[[#This Row],[Quantity]]*Table1[[#This Row],[Unit_Price]]</f>
        <v>13816</v>
      </c>
      <c r="O783">
        <f>(Table1[[#This Row],[Unit_Price]]-Table1[[#This Row],[Cost_Price]])*Table1[[#This Row],[Quantity]]</f>
        <v>6616</v>
      </c>
      <c r="P783">
        <f t="shared" si="12"/>
        <v>13816</v>
      </c>
      <c r="Q783" t="str">
        <f>TEXT(Table1[[#This Row],[Order_Date]],"mmm-yyyy")</f>
        <v>May-2024</v>
      </c>
    </row>
    <row r="784" spans="1:17" x14ac:dyDescent="0.35">
      <c r="A784" t="s">
        <v>1141</v>
      </c>
      <c r="B784" t="s">
        <v>198</v>
      </c>
      <c r="C784" t="s">
        <v>21</v>
      </c>
      <c r="D784" t="s">
        <v>11</v>
      </c>
      <c r="E784" t="s">
        <v>17</v>
      </c>
      <c r="F784" t="s">
        <v>18</v>
      </c>
      <c r="G784">
        <v>4</v>
      </c>
      <c r="H784">
        <v>1167</v>
      </c>
      <c r="I784" t="str">
        <f>VLOOKUP(D784,Product_Master!A:D,2,FALSE)</f>
        <v>Chair</v>
      </c>
      <c r="J784" t="str">
        <f>VLOOKUP(D784,Product_Master!A:D,3,FALSE)</f>
        <v>Furniture</v>
      </c>
      <c r="K784">
        <f>VLOOKUP(D784,Product_Master!A:D,4,FALSE)</f>
        <v>150</v>
      </c>
      <c r="L784" t="str">
        <f>VLOOKUP(C784,Customer_Master!A:C,2,FALSE)</f>
        <v>Reliance</v>
      </c>
      <c r="M784" t="str">
        <f>VLOOKUP(C784,Customer_Master!A:C,3,FALSE)</f>
        <v>Corporate</v>
      </c>
      <c r="N784">
        <f>Table1[[#This Row],[Quantity]]*Table1[[#This Row],[Unit_Price]]</f>
        <v>4668</v>
      </c>
      <c r="O784">
        <f>(Table1[[#This Row],[Unit_Price]]-Table1[[#This Row],[Cost_Price]])*Table1[[#This Row],[Quantity]]</f>
        <v>4068</v>
      </c>
      <c r="P784">
        <f t="shared" si="12"/>
        <v>4668</v>
      </c>
      <c r="Q784" t="str">
        <f>TEXT(Table1[[#This Row],[Order_Date]],"mmm-yyyy")</f>
        <v>Jun-2024</v>
      </c>
    </row>
    <row r="785" spans="1:17" x14ac:dyDescent="0.35">
      <c r="A785" t="s">
        <v>1142</v>
      </c>
      <c r="B785" t="s">
        <v>15</v>
      </c>
      <c r="C785" t="s">
        <v>21</v>
      </c>
      <c r="D785" t="s">
        <v>26</v>
      </c>
      <c r="E785" t="s">
        <v>27</v>
      </c>
      <c r="F785" t="s">
        <v>18</v>
      </c>
      <c r="G785">
        <v>6</v>
      </c>
      <c r="H785">
        <v>1415</v>
      </c>
      <c r="I785" t="str">
        <f>VLOOKUP(D785,Product_Master!A:D,2,FALSE)</f>
        <v>Laptop</v>
      </c>
      <c r="J785" t="str">
        <f>VLOOKUP(D785,Product_Master!A:D,3,FALSE)</f>
        <v>Electronics</v>
      </c>
      <c r="K785">
        <f>VLOOKUP(D785,Product_Master!A:D,4,FALSE)</f>
        <v>900</v>
      </c>
      <c r="L785" t="str">
        <f>VLOOKUP(C785,Customer_Master!A:C,2,FALSE)</f>
        <v>Reliance</v>
      </c>
      <c r="M785" t="str">
        <f>VLOOKUP(C785,Customer_Master!A:C,3,FALSE)</f>
        <v>Corporate</v>
      </c>
      <c r="N785">
        <f>Table1[[#This Row],[Quantity]]*Table1[[#This Row],[Unit_Price]]</f>
        <v>8490</v>
      </c>
      <c r="O785">
        <f>(Table1[[#This Row],[Unit_Price]]-Table1[[#This Row],[Cost_Price]])*Table1[[#This Row],[Quantity]]</f>
        <v>3090</v>
      </c>
      <c r="P785">
        <f t="shared" si="12"/>
        <v>8490</v>
      </c>
      <c r="Q785" t="str">
        <f>TEXT(Table1[[#This Row],[Order_Date]],"mmm-yyyy")</f>
        <v>Sep-2024</v>
      </c>
    </row>
    <row r="786" spans="1:17" x14ac:dyDescent="0.35">
      <c r="A786" t="s">
        <v>1143</v>
      </c>
      <c r="B786" t="s">
        <v>325</v>
      </c>
      <c r="C786" t="s">
        <v>10</v>
      </c>
      <c r="D786" t="s">
        <v>26</v>
      </c>
      <c r="E786" t="s">
        <v>27</v>
      </c>
      <c r="F786" t="s">
        <v>34</v>
      </c>
      <c r="G786">
        <v>10</v>
      </c>
      <c r="H786">
        <v>1365</v>
      </c>
      <c r="I786" t="str">
        <f>VLOOKUP(D786,Product_Master!A:D,2,FALSE)</f>
        <v>Laptop</v>
      </c>
      <c r="J786" t="str">
        <f>VLOOKUP(D786,Product_Master!A:D,3,FALSE)</f>
        <v>Electronics</v>
      </c>
      <c r="K786">
        <f>VLOOKUP(D786,Product_Master!A:D,4,FALSE)</f>
        <v>900</v>
      </c>
      <c r="L786" t="str">
        <f>VLOOKUP(C786,Customer_Master!A:C,2,FALSE)</f>
        <v>Suresh</v>
      </c>
      <c r="M786" t="str">
        <f>VLOOKUP(C786,Customer_Master!A:C,3,FALSE)</f>
        <v>Consumer</v>
      </c>
      <c r="N786">
        <f>Table1[[#This Row],[Quantity]]*Table1[[#This Row],[Unit_Price]]</f>
        <v>13650</v>
      </c>
      <c r="O786">
        <f>(Table1[[#This Row],[Unit_Price]]-Table1[[#This Row],[Cost_Price]])*Table1[[#This Row],[Quantity]]</f>
        <v>4650</v>
      </c>
      <c r="P786">
        <f t="shared" si="12"/>
        <v>13650</v>
      </c>
      <c r="Q786" t="str">
        <f>TEXT(Table1[[#This Row],[Order_Date]],"mmm-yyyy")</f>
        <v>Dec-2024</v>
      </c>
    </row>
    <row r="787" spans="1:17" x14ac:dyDescent="0.35">
      <c r="A787" t="s">
        <v>1144</v>
      </c>
      <c r="B787" t="s">
        <v>407</v>
      </c>
      <c r="C787" t="s">
        <v>45</v>
      </c>
      <c r="D787" t="s">
        <v>26</v>
      </c>
      <c r="E787" t="s">
        <v>33</v>
      </c>
      <c r="F787" t="s">
        <v>13</v>
      </c>
      <c r="G787">
        <v>2</v>
      </c>
      <c r="H787">
        <v>1711</v>
      </c>
      <c r="I787" t="str">
        <f>VLOOKUP(D787,Product_Master!A:D,2,FALSE)</f>
        <v>Laptop</v>
      </c>
      <c r="J787" t="str">
        <f>VLOOKUP(D787,Product_Master!A:D,3,FALSE)</f>
        <v>Electronics</v>
      </c>
      <c r="K787">
        <f>VLOOKUP(D787,Product_Master!A:D,4,FALSE)</f>
        <v>900</v>
      </c>
      <c r="L787" t="str">
        <f>VLOOKUP(C787,Customer_Master!A:C,2,FALSE)</f>
        <v>TCS</v>
      </c>
      <c r="M787" t="str">
        <f>VLOOKUP(C787,Customer_Master!A:C,3,FALSE)</f>
        <v>Corporate</v>
      </c>
      <c r="N787">
        <f>Table1[[#This Row],[Quantity]]*Table1[[#This Row],[Unit_Price]]</f>
        <v>3422</v>
      </c>
      <c r="O787">
        <f>(Table1[[#This Row],[Unit_Price]]-Table1[[#This Row],[Cost_Price]])*Table1[[#This Row],[Quantity]]</f>
        <v>1622</v>
      </c>
      <c r="P787">
        <f t="shared" si="12"/>
        <v>3422</v>
      </c>
      <c r="Q787" t="str">
        <f>TEXT(Table1[[#This Row],[Order_Date]],"mmm-yyyy")</f>
        <v>Mar-2024</v>
      </c>
    </row>
    <row r="788" spans="1:17" x14ac:dyDescent="0.35">
      <c r="A788" t="s">
        <v>1145</v>
      </c>
      <c r="B788" t="s">
        <v>585</v>
      </c>
      <c r="C788" t="s">
        <v>45</v>
      </c>
      <c r="D788" t="s">
        <v>16</v>
      </c>
      <c r="E788" t="s">
        <v>17</v>
      </c>
      <c r="F788" t="s">
        <v>23</v>
      </c>
      <c r="G788">
        <v>5</v>
      </c>
      <c r="H788">
        <v>1406</v>
      </c>
      <c r="I788" t="str">
        <f>VLOOKUP(D788,Product_Master!A:D,2,FALSE)</f>
        <v>Printer</v>
      </c>
      <c r="J788" t="str">
        <f>VLOOKUP(D788,Product_Master!A:D,3,FALSE)</f>
        <v>Electronics</v>
      </c>
      <c r="K788">
        <f>VLOOKUP(D788,Product_Master!A:D,4,FALSE)</f>
        <v>1100</v>
      </c>
      <c r="L788" t="str">
        <f>VLOOKUP(C788,Customer_Master!A:C,2,FALSE)</f>
        <v>TCS</v>
      </c>
      <c r="M788" t="str">
        <f>VLOOKUP(C788,Customer_Master!A:C,3,FALSE)</f>
        <v>Corporate</v>
      </c>
      <c r="N788">
        <f>Table1[[#This Row],[Quantity]]*Table1[[#This Row],[Unit_Price]]</f>
        <v>7030</v>
      </c>
      <c r="O788">
        <f>(Table1[[#This Row],[Unit_Price]]-Table1[[#This Row],[Cost_Price]])*Table1[[#This Row],[Quantity]]</f>
        <v>1530</v>
      </c>
      <c r="P788">
        <f t="shared" si="12"/>
        <v>7030</v>
      </c>
      <c r="Q788" t="str">
        <f>TEXT(Table1[[#This Row],[Order_Date]],"mmm-yyyy")</f>
        <v>Oct-2024</v>
      </c>
    </row>
    <row r="789" spans="1:17" x14ac:dyDescent="0.35">
      <c r="A789" t="s">
        <v>1146</v>
      </c>
      <c r="B789" t="s">
        <v>242</v>
      </c>
      <c r="C789" t="s">
        <v>10</v>
      </c>
      <c r="D789" t="s">
        <v>16</v>
      </c>
      <c r="E789" t="s">
        <v>17</v>
      </c>
      <c r="F789" t="s">
        <v>34</v>
      </c>
      <c r="G789">
        <v>1</v>
      </c>
      <c r="H789">
        <v>835</v>
      </c>
      <c r="I789" t="str">
        <f>VLOOKUP(D789,Product_Master!A:D,2,FALSE)</f>
        <v>Printer</v>
      </c>
      <c r="J789" t="str">
        <f>VLOOKUP(D789,Product_Master!A:D,3,FALSE)</f>
        <v>Electronics</v>
      </c>
      <c r="K789">
        <f>VLOOKUP(D789,Product_Master!A:D,4,FALSE)</f>
        <v>1100</v>
      </c>
      <c r="L789" t="str">
        <f>VLOOKUP(C789,Customer_Master!A:C,2,FALSE)</f>
        <v>Suresh</v>
      </c>
      <c r="M789" t="str">
        <f>VLOOKUP(C789,Customer_Master!A:C,3,FALSE)</f>
        <v>Consumer</v>
      </c>
      <c r="N789">
        <f>Table1[[#This Row],[Quantity]]*Table1[[#This Row],[Unit_Price]]</f>
        <v>835</v>
      </c>
      <c r="O789">
        <f>(Table1[[#This Row],[Unit_Price]]-Table1[[#This Row],[Cost_Price]])*Table1[[#This Row],[Quantity]]</f>
        <v>-265</v>
      </c>
      <c r="P789">
        <f t="shared" si="12"/>
        <v>835</v>
      </c>
      <c r="Q789" t="str">
        <f>TEXT(Table1[[#This Row],[Order_Date]],"mmm-yyyy")</f>
        <v>May-2024</v>
      </c>
    </row>
    <row r="790" spans="1:17" x14ac:dyDescent="0.35">
      <c r="A790" t="s">
        <v>1147</v>
      </c>
      <c r="B790" t="s">
        <v>327</v>
      </c>
      <c r="C790" t="s">
        <v>42</v>
      </c>
      <c r="D790" t="s">
        <v>22</v>
      </c>
      <c r="E790" t="s">
        <v>17</v>
      </c>
      <c r="F790" t="s">
        <v>34</v>
      </c>
      <c r="G790">
        <v>3</v>
      </c>
      <c r="H790">
        <v>1399</v>
      </c>
      <c r="I790" t="str">
        <f>VLOOKUP(D790,Product_Master!A:D,2,FALSE)</f>
        <v>Desk</v>
      </c>
      <c r="J790" t="str">
        <f>VLOOKUP(D790,Product_Master!A:D,3,FALSE)</f>
        <v>Furniture</v>
      </c>
      <c r="K790">
        <f>VLOOKUP(D790,Product_Master!A:D,4,FALSE)</f>
        <v>300</v>
      </c>
      <c r="L790" t="str">
        <f>VLOOKUP(C790,Customer_Master!A:C,2,FALSE)</f>
        <v>Ramesh</v>
      </c>
      <c r="M790" t="str">
        <f>VLOOKUP(C790,Customer_Master!A:C,3,FALSE)</f>
        <v>Consumer</v>
      </c>
      <c r="N790">
        <f>Table1[[#This Row],[Quantity]]*Table1[[#This Row],[Unit_Price]]</f>
        <v>4197</v>
      </c>
      <c r="O790">
        <f>(Table1[[#This Row],[Unit_Price]]-Table1[[#This Row],[Cost_Price]])*Table1[[#This Row],[Quantity]]</f>
        <v>3297</v>
      </c>
      <c r="P790">
        <f t="shared" si="12"/>
        <v>4197</v>
      </c>
      <c r="Q790" t="str">
        <f>TEXT(Table1[[#This Row],[Order_Date]],"mmm-yyyy")</f>
        <v>May-2024</v>
      </c>
    </row>
    <row r="791" spans="1:17" x14ac:dyDescent="0.35">
      <c r="A791" t="s">
        <v>1148</v>
      </c>
      <c r="B791" t="s">
        <v>303</v>
      </c>
      <c r="C791" t="s">
        <v>21</v>
      </c>
      <c r="D791" t="s">
        <v>37</v>
      </c>
      <c r="E791" t="s">
        <v>27</v>
      </c>
      <c r="F791" t="s">
        <v>13</v>
      </c>
      <c r="G791">
        <v>6</v>
      </c>
      <c r="H791">
        <v>1503</v>
      </c>
      <c r="I791" t="str">
        <f>VLOOKUP(D791,Product_Master!A:D,2,FALSE)</f>
        <v>Mobile</v>
      </c>
      <c r="J791" t="str">
        <f>VLOOKUP(D791,Product_Master!A:D,3,FALSE)</f>
        <v>Electronics</v>
      </c>
      <c r="K791">
        <f>VLOOKUP(D791,Product_Master!A:D,4,FALSE)</f>
        <v>600</v>
      </c>
      <c r="L791" t="str">
        <f>VLOOKUP(C791,Customer_Master!A:C,2,FALSE)</f>
        <v>Reliance</v>
      </c>
      <c r="M791" t="str">
        <f>VLOOKUP(C791,Customer_Master!A:C,3,FALSE)</f>
        <v>Corporate</v>
      </c>
      <c r="N791">
        <f>Table1[[#This Row],[Quantity]]*Table1[[#This Row],[Unit_Price]]</f>
        <v>9018</v>
      </c>
      <c r="O791">
        <f>(Table1[[#This Row],[Unit_Price]]-Table1[[#This Row],[Cost_Price]])*Table1[[#This Row],[Quantity]]</f>
        <v>5418</v>
      </c>
      <c r="P791">
        <f t="shared" si="12"/>
        <v>9018</v>
      </c>
      <c r="Q791" t="str">
        <f>TEXT(Table1[[#This Row],[Order_Date]],"mmm-yyyy")</f>
        <v>Jul-2024</v>
      </c>
    </row>
    <row r="792" spans="1:17" x14ac:dyDescent="0.35">
      <c r="A792" t="s">
        <v>1149</v>
      </c>
      <c r="B792" t="s">
        <v>1150</v>
      </c>
      <c r="C792" t="s">
        <v>30</v>
      </c>
      <c r="D792" t="s">
        <v>16</v>
      </c>
      <c r="E792" t="s">
        <v>27</v>
      </c>
      <c r="F792" t="s">
        <v>18</v>
      </c>
      <c r="G792">
        <v>4</v>
      </c>
      <c r="H792">
        <v>1171</v>
      </c>
      <c r="I792" t="str">
        <f>VLOOKUP(D792,Product_Master!A:D,2,FALSE)</f>
        <v>Printer</v>
      </c>
      <c r="J792" t="str">
        <f>VLOOKUP(D792,Product_Master!A:D,3,FALSE)</f>
        <v>Electronics</v>
      </c>
      <c r="K792">
        <f>VLOOKUP(D792,Product_Master!A:D,4,FALSE)</f>
        <v>1100</v>
      </c>
      <c r="L792" t="str">
        <f>VLOOKUP(C792,Customer_Master!A:C,2,FALSE)</f>
        <v>Infosys</v>
      </c>
      <c r="M792" t="str">
        <f>VLOOKUP(C792,Customer_Master!A:C,3,FALSE)</f>
        <v>Corporate</v>
      </c>
      <c r="N792">
        <f>Table1[[#This Row],[Quantity]]*Table1[[#This Row],[Unit_Price]]</f>
        <v>4684</v>
      </c>
      <c r="O792">
        <f>(Table1[[#This Row],[Unit_Price]]-Table1[[#This Row],[Cost_Price]])*Table1[[#This Row],[Quantity]]</f>
        <v>284</v>
      </c>
      <c r="P792">
        <f t="shared" si="12"/>
        <v>4684</v>
      </c>
      <c r="Q792" t="str">
        <f>TEXT(Table1[[#This Row],[Order_Date]],"mmm-yyyy")</f>
        <v>Jul-2024</v>
      </c>
    </row>
    <row r="793" spans="1:17" x14ac:dyDescent="0.35">
      <c r="A793" t="s">
        <v>1151</v>
      </c>
      <c r="B793" t="s">
        <v>151</v>
      </c>
      <c r="C793" t="s">
        <v>10</v>
      </c>
      <c r="D793" t="s">
        <v>26</v>
      </c>
      <c r="E793" t="s">
        <v>27</v>
      </c>
      <c r="F793" t="s">
        <v>23</v>
      </c>
      <c r="G793">
        <v>10</v>
      </c>
      <c r="H793">
        <v>1841</v>
      </c>
      <c r="I793" t="str">
        <f>VLOOKUP(D793,Product_Master!A:D,2,FALSE)</f>
        <v>Laptop</v>
      </c>
      <c r="J793" t="str">
        <f>VLOOKUP(D793,Product_Master!A:D,3,FALSE)</f>
        <v>Electronics</v>
      </c>
      <c r="K793">
        <f>VLOOKUP(D793,Product_Master!A:D,4,FALSE)</f>
        <v>900</v>
      </c>
      <c r="L793" t="str">
        <f>VLOOKUP(C793,Customer_Master!A:C,2,FALSE)</f>
        <v>Suresh</v>
      </c>
      <c r="M793" t="str">
        <f>VLOOKUP(C793,Customer_Master!A:C,3,FALSE)</f>
        <v>Consumer</v>
      </c>
      <c r="N793">
        <f>Table1[[#This Row],[Quantity]]*Table1[[#This Row],[Unit_Price]]</f>
        <v>18410</v>
      </c>
      <c r="O793">
        <f>(Table1[[#This Row],[Unit_Price]]-Table1[[#This Row],[Cost_Price]])*Table1[[#This Row],[Quantity]]</f>
        <v>9410</v>
      </c>
      <c r="P793">
        <f t="shared" si="12"/>
        <v>18410</v>
      </c>
      <c r="Q793" t="str">
        <f>TEXT(Table1[[#This Row],[Order_Date]],"mmm-yyyy")</f>
        <v>Oct-2024</v>
      </c>
    </row>
    <row r="794" spans="1:17" x14ac:dyDescent="0.35">
      <c r="A794" t="s">
        <v>1152</v>
      </c>
      <c r="B794" t="s">
        <v>976</v>
      </c>
      <c r="C794" t="s">
        <v>45</v>
      </c>
      <c r="D794" t="s">
        <v>22</v>
      </c>
      <c r="E794" t="s">
        <v>12</v>
      </c>
      <c r="F794" t="s">
        <v>23</v>
      </c>
      <c r="G794">
        <v>1</v>
      </c>
      <c r="H794">
        <v>1497</v>
      </c>
      <c r="I794" t="str">
        <f>VLOOKUP(D794,Product_Master!A:D,2,FALSE)</f>
        <v>Desk</v>
      </c>
      <c r="J794" t="str">
        <f>VLOOKUP(D794,Product_Master!A:D,3,FALSE)</f>
        <v>Furniture</v>
      </c>
      <c r="K794">
        <f>VLOOKUP(D794,Product_Master!A:D,4,FALSE)</f>
        <v>300</v>
      </c>
      <c r="L794" t="str">
        <f>VLOOKUP(C794,Customer_Master!A:C,2,FALSE)</f>
        <v>TCS</v>
      </c>
      <c r="M794" t="str">
        <f>VLOOKUP(C794,Customer_Master!A:C,3,FALSE)</f>
        <v>Corporate</v>
      </c>
      <c r="N794">
        <f>Table1[[#This Row],[Quantity]]*Table1[[#This Row],[Unit_Price]]</f>
        <v>1497</v>
      </c>
      <c r="O794">
        <f>(Table1[[#This Row],[Unit_Price]]-Table1[[#This Row],[Cost_Price]])*Table1[[#This Row],[Quantity]]</f>
        <v>1197</v>
      </c>
      <c r="P794">
        <f t="shared" si="12"/>
        <v>1497</v>
      </c>
      <c r="Q794" t="str">
        <f>TEXT(Table1[[#This Row],[Order_Date]],"mmm-yyyy")</f>
        <v>Dec-2024</v>
      </c>
    </row>
    <row r="795" spans="1:17" x14ac:dyDescent="0.35">
      <c r="A795" t="s">
        <v>1153</v>
      </c>
      <c r="B795" t="s">
        <v>806</v>
      </c>
      <c r="C795" t="s">
        <v>42</v>
      </c>
      <c r="D795" t="s">
        <v>26</v>
      </c>
      <c r="E795" t="s">
        <v>27</v>
      </c>
      <c r="F795" t="s">
        <v>18</v>
      </c>
      <c r="G795">
        <v>7</v>
      </c>
      <c r="H795">
        <v>1015</v>
      </c>
      <c r="I795" t="str">
        <f>VLOOKUP(D795,Product_Master!A:D,2,FALSE)</f>
        <v>Laptop</v>
      </c>
      <c r="J795" t="str">
        <f>VLOOKUP(D795,Product_Master!A:D,3,FALSE)</f>
        <v>Electronics</v>
      </c>
      <c r="K795">
        <f>VLOOKUP(D795,Product_Master!A:D,4,FALSE)</f>
        <v>900</v>
      </c>
      <c r="L795" t="str">
        <f>VLOOKUP(C795,Customer_Master!A:C,2,FALSE)</f>
        <v>Ramesh</v>
      </c>
      <c r="M795" t="str">
        <f>VLOOKUP(C795,Customer_Master!A:C,3,FALSE)</f>
        <v>Consumer</v>
      </c>
      <c r="N795">
        <f>Table1[[#This Row],[Quantity]]*Table1[[#This Row],[Unit_Price]]</f>
        <v>7105</v>
      </c>
      <c r="O795">
        <f>(Table1[[#This Row],[Unit_Price]]-Table1[[#This Row],[Cost_Price]])*Table1[[#This Row],[Quantity]]</f>
        <v>805</v>
      </c>
      <c r="P795">
        <f t="shared" si="12"/>
        <v>7105</v>
      </c>
      <c r="Q795" t="str">
        <f>TEXT(Table1[[#This Row],[Order_Date]],"mmm-yyyy")</f>
        <v>May-2024</v>
      </c>
    </row>
    <row r="796" spans="1:17" x14ac:dyDescent="0.35">
      <c r="A796" t="s">
        <v>1154</v>
      </c>
      <c r="B796" t="s">
        <v>582</v>
      </c>
      <c r="C796" t="s">
        <v>42</v>
      </c>
      <c r="D796" t="s">
        <v>16</v>
      </c>
      <c r="E796" t="s">
        <v>27</v>
      </c>
      <c r="F796" t="s">
        <v>23</v>
      </c>
      <c r="G796">
        <v>10</v>
      </c>
      <c r="H796">
        <v>813</v>
      </c>
      <c r="I796" t="str">
        <f>VLOOKUP(D796,Product_Master!A:D,2,FALSE)</f>
        <v>Printer</v>
      </c>
      <c r="J796" t="str">
        <f>VLOOKUP(D796,Product_Master!A:D,3,FALSE)</f>
        <v>Electronics</v>
      </c>
      <c r="K796">
        <f>VLOOKUP(D796,Product_Master!A:D,4,FALSE)</f>
        <v>1100</v>
      </c>
      <c r="L796" t="str">
        <f>VLOOKUP(C796,Customer_Master!A:C,2,FALSE)</f>
        <v>Ramesh</v>
      </c>
      <c r="M796" t="str">
        <f>VLOOKUP(C796,Customer_Master!A:C,3,FALSE)</f>
        <v>Consumer</v>
      </c>
      <c r="N796">
        <f>Table1[[#This Row],[Quantity]]*Table1[[#This Row],[Unit_Price]]</f>
        <v>8130</v>
      </c>
      <c r="O796">
        <f>(Table1[[#This Row],[Unit_Price]]-Table1[[#This Row],[Cost_Price]])*Table1[[#This Row],[Quantity]]</f>
        <v>-2870</v>
      </c>
      <c r="P796">
        <f t="shared" si="12"/>
        <v>8130</v>
      </c>
      <c r="Q796" t="str">
        <f>TEXT(Table1[[#This Row],[Order_Date]],"mmm-yyyy")</f>
        <v>Aug-2024</v>
      </c>
    </row>
    <row r="797" spans="1:17" x14ac:dyDescent="0.35">
      <c r="A797" t="s">
        <v>1155</v>
      </c>
      <c r="B797" t="s">
        <v>713</v>
      </c>
      <c r="C797" t="s">
        <v>10</v>
      </c>
      <c r="D797" t="s">
        <v>22</v>
      </c>
      <c r="E797" t="s">
        <v>17</v>
      </c>
      <c r="F797" t="s">
        <v>34</v>
      </c>
      <c r="G797">
        <v>4</v>
      </c>
      <c r="H797">
        <v>1584</v>
      </c>
      <c r="I797" t="str">
        <f>VLOOKUP(D797,Product_Master!A:D,2,FALSE)</f>
        <v>Desk</v>
      </c>
      <c r="J797" t="str">
        <f>VLOOKUP(D797,Product_Master!A:D,3,FALSE)</f>
        <v>Furniture</v>
      </c>
      <c r="K797">
        <f>VLOOKUP(D797,Product_Master!A:D,4,FALSE)</f>
        <v>300</v>
      </c>
      <c r="L797" t="str">
        <f>VLOOKUP(C797,Customer_Master!A:C,2,FALSE)</f>
        <v>Suresh</v>
      </c>
      <c r="M797" t="str">
        <f>VLOOKUP(C797,Customer_Master!A:C,3,FALSE)</f>
        <v>Consumer</v>
      </c>
      <c r="N797">
        <f>Table1[[#This Row],[Quantity]]*Table1[[#This Row],[Unit_Price]]</f>
        <v>6336</v>
      </c>
      <c r="O797">
        <f>(Table1[[#This Row],[Unit_Price]]-Table1[[#This Row],[Cost_Price]])*Table1[[#This Row],[Quantity]]</f>
        <v>5136</v>
      </c>
      <c r="P797">
        <f t="shared" si="12"/>
        <v>6336</v>
      </c>
      <c r="Q797" t="str">
        <f>TEXT(Table1[[#This Row],[Order_Date]],"mmm-yyyy")</f>
        <v>Nov-2024</v>
      </c>
    </row>
    <row r="798" spans="1:17" x14ac:dyDescent="0.35">
      <c r="A798" t="s">
        <v>1156</v>
      </c>
      <c r="B798" t="s">
        <v>942</v>
      </c>
      <c r="C798" t="s">
        <v>21</v>
      </c>
      <c r="D798" t="s">
        <v>16</v>
      </c>
      <c r="E798" t="s">
        <v>27</v>
      </c>
      <c r="F798" t="s">
        <v>13</v>
      </c>
      <c r="G798">
        <v>1</v>
      </c>
      <c r="H798">
        <v>1898</v>
      </c>
      <c r="I798" t="str">
        <f>VLOOKUP(D798,Product_Master!A:D,2,FALSE)</f>
        <v>Printer</v>
      </c>
      <c r="J798" t="str">
        <f>VLOOKUP(D798,Product_Master!A:D,3,FALSE)</f>
        <v>Electronics</v>
      </c>
      <c r="K798">
        <f>VLOOKUP(D798,Product_Master!A:D,4,FALSE)</f>
        <v>1100</v>
      </c>
      <c r="L798" t="str">
        <f>VLOOKUP(C798,Customer_Master!A:C,2,FALSE)</f>
        <v>Reliance</v>
      </c>
      <c r="M798" t="str">
        <f>VLOOKUP(C798,Customer_Master!A:C,3,FALSE)</f>
        <v>Corporate</v>
      </c>
      <c r="N798">
        <f>Table1[[#This Row],[Quantity]]*Table1[[#This Row],[Unit_Price]]</f>
        <v>1898</v>
      </c>
      <c r="O798">
        <f>(Table1[[#This Row],[Unit_Price]]-Table1[[#This Row],[Cost_Price]])*Table1[[#This Row],[Quantity]]</f>
        <v>798</v>
      </c>
      <c r="P798">
        <f t="shared" si="12"/>
        <v>1898</v>
      </c>
      <c r="Q798" t="str">
        <f>TEXT(Table1[[#This Row],[Order_Date]],"mmm-yyyy")</f>
        <v>Nov-2024</v>
      </c>
    </row>
    <row r="799" spans="1:17" x14ac:dyDescent="0.35">
      <c r="A799" t="s">
        <v>1157</v>
      </c>
      <c r="B799" t="s">
        <v>717</v>
      </c>
      <c r="C799" t="s">
        <v>42</v>
      </c>
      <c r="D799" t="s">
        <v>16</v>
      </c>
      <c r="E799" t="s">
        <v>33</v>
      </c>
      <c r="F799" t="s">
        <v>23</v>
      </c>
      <c r="G799">
        <v>10</v>
      </c>
      <c r="H799">
        <v>1752</v>
      </c>
      <c r="I799" t="str">
        <f>VLOOKUP(D799,Product_Master!A:D,2,FALSE)</f>
        <v>Printer</v>
      </c>
      <c r="J799" t="str">
        <f>VLOOKUP(D799,Product_Master!A:D,3,FALSE)</f>
        <v>Electronics</v>
      </c>
      <c r="K799">
        <f>VLOOKUP(D799,Product_Master!A:D,4,FALSE)</f>
        <v>1100</v>
      </c>
      <c r="L799" t="str">
        <f>VLOOKUP(C799,Customer_Master!A:C,2,FALSE)</f>
        <v>Ramesh</v>
      </c>
      <c r="M799" t="str">
        <f>VLOOKUP(C799,Customer_Master!A:C,3,FALSE)</f>
        <v>Consumer</v>
      </c>
      <c r="N799">
        <f>Table1[[#This Row],[Quantity]]*Table1[[#This Row],[Unit_Price]]</f>
        <v>17520</v>
      </c>
      <c r="O799">
        <f>(Table1[[#This Row],[Unit_Price]]-Table1[[#This Row],[Cost_Price]])*Table1[[#This Row],[Quantity]]</f>
        <v>6520</v>
      </c>
      <c r="P799">
        <f t="shared" si="12"/>
        <v>17520</v>
      </c>
      <c r="Q799" t="str">
        <f>TEXT(Table1[[#This Row],[Order_Date]],"mmm-yyyy")</f>
        <v>Sep-2024</v>
      </c>
    </row>
    <row r="800" spans="1:17" x14ac:dyDescent="0.35">
      <c r="A800" t="s">
        <v>1158</v>
      </c>
      <c r="B800" t="s">
        <v>918</v>
      </c>
      <c r="C800" t="s">
        <v>30</v>
      </c>
      <c r="D800" t="s">
        <v>37</v>
      </c>
      <c r="E800" t="s">
        <v>12</v>
      </c>
      <c r="F800" t="s">
        <v>34</v>
      </c>
      <c r="G800">
        <v>2</v>
      </c>
      <c r="H800">
        <v>1194</v>
      </c>
      <c r="I800" t="str">
        <f>VLOOKUP(D800,Product_Master!A:D,2,FALSE)</f>
        <v>Mobile</v>
      </c>
      <c r="J800" t="str">
        <f>VLOOKUP(D800,Product_Master!A:D,3,FALSE)</f>
        <v>Electronics</v>
      </c>
      <c r="K800">
        <f>VLOOKUP(D800,Product_Master!A:D,4,FALSE)</f>
        <v>600</v>
      </c>
      <c r="L800" t="str">
        <f>VLOOKUP(C800,Customer_Master!A:C,2,FALSE)</f>
        <v>Infosys</v>
      </c>
      <c r="M800" t="str">
        <f>VLOOKUP(C800,Customer_Master!A:C,3,FALSE)</f>
        <v>Corporate</v>
      </c>
      <c r="N800">
        <f>Table1[[#This Row],[Quantity]]*Table1[[#This Row],[Unit_Price]]</f>
        <v>2388</v>
      </c>
      <c r="O800">
        <f>(Table1[[#This Row],[Unit_Price]]-Table1[[#This Row],[Cost_Price]])*Table1[[#This Row],[Quantity]]</f>
        <v>1188</v>
      </c>
      <c r="P800">
        <f t="shared" si="12"/>
        <v>2388</v>
      </c>
      <c r="Q800" t="str">
        <f>TEXT(Table1[[#This Row],[Order_Date]],"mmm-yyyy")</f>
        <v>Dec-2024</v>
      </c>
    </row>
    <row r="801" spans="1:17" x14ac:dyDescent="0.35">
      <c r="A801" t="s">
        <v>1159</v>
      </c>
      <c r="B801" t="s">
        <v>706</v>
      </c>
      <c r="C801" t="s">
        <v>30</v>
      </c>
      <c r="D801" t="s">
        <v>26</v>
      </c>
      <c r="E801" t="s">
        <v>27</v>
      </c>
      <c r="F801" t="s">
        <v>23</v>
      </c>
      <c r="G801">
        <v>2</v>
      </c>
      <c r="H801">
        <v>1898</v>
      </c>
      <c r="I801" t="str">
        <f>VLOOKUP(D801,Product_Master!A:D,2,FALSE)</f>
        <v>Laptop</v>
      </c>
      <c r="J801" t="str">
        <f>VLOOKUP(D801,Product_Master!A:D,3,FALSE)</f>
        <v>Electronics</v>
      </c>
      <c r="K801">
        <f>VLOOKUP(D801,Product_Master!A:D,4,FALSE)</f>
        <v>900</v>
      </c>
      <c r="L801" t="str">
        <f>VLOOKUP(C801,Customer_Master!A:C,2,FALSE)</f>
        <v>Infosys</v>
      </c>
      <c r="M801" t="str">
        <f>VLOOKUP(C801,Customer_Master!A:C,3,FALSE)</f>
        <v>Corporate</v>
      </c>
      <c r="N801">
        <f>Table1[[#This Row],[Quantity]]*Table1[[#This Row],[Unit_Price]]</f>
        <v>3796</v>
      </c>
      <c r="O801">
        <f>(Table1[[#This Row],[Unit_Price]]-Table1[[#This Row],[Cost_Price]])*Table1[[#This Row],[Quantity]]</f>
        <v>1996</v>
      </c>
      <c r="P801">
        <f t="shared" si="12"/>
        <v>3796</v>
      </c>
      <c r="Q801" t="str">
        <f>TEXT(Table1[[#This Row],[Order_Date]],"mmm-yyyy")</f>
        <v>Nov-2024</v>
      </c>
    </row>
    <row r="802" spans="1:17" x14ac:dyDescent="0.35">
      <c r="A802" t="s">
        <v>1160</v>
      </c>
      <c r="B802" t="s">
        <v>476</v>
      </c>
      <c r="C802" t="s">
        <v>21</v>
      </c>
      <c r="D802" t="s">
        <v>22</v>
      </c>
      <c r="E802" t="s">
        <v>12</v>
      </c>
      <c r="F802" t="s">
        <v>23</v>
      </c>
      <c r="G802">
        <v>9</v>
      </c>
      <c r="H802">
        <v>1139</v>
      </c>
      <c r="I802" t="str">
        <f>VLOOKUP(D802,Product_Master!A:D,2,FALSE)</f>
        <v>Desk</v>
      </c>
      <c r="J802" t="str">
        <f>VLOOKUP(D802,Product_Master!A:D,3,FALSE)</f>
        <v>Furniture</v>
      </c>
      <c r="K802">
        <f>VLOOKUP(D802,Product_Master!A:D,4,FALSE)</f>
        <v>300</v>
      </c>
      <c r="L802" t="str">
        <f>VLOOKUP(C802,Customer_Master!A:C,2,FALSE)</f>
        <v>Reliance</v>
      </c>
      <c r="M802" t="str">
        <f>VLOOKUP(C802,Customer_Master!A:C,3,FALSE)</f>
        <v>Corporate</v>
      </c>
      <c r="N802">
        <f>Table1[[#This Row],[Quantity]]*Table1[[#This Row],[Unit_Price]]</f>
        <v>10251</v>
      </c>
      <c r="O802">
        <f>(Table1[[#This Row],[Unit_Price]]-Table1[[#This Row],[Cost_Price]])*Table1[[#This Row],[Quantity]]</f>
        <v>7551</v>
      </c>
      <c r="P802">
        <f t="shared" si="12"/>
        <v>10251</v>
      </c>
      <c r="Q802" t="str">
        <f>TEXT(Table1[[#This Row],[Order_Date]],"mmm-yyyy")</f>
        <v>Apr-2024</v>
      </c>
    </row>
    <row r="803" spans="1:17" x14ac:dyDescent="0.35">
      <c r="A803" t="s">
        <v>1161</v>
      </c>
      <c r="B803" t="s">
        <v>488</v>
      </c>
      <c r="C803" t="s">
        <v>21</v>
      </c>
      <c r="D803" t="s">
        <v>26</v>
      </c>
      <c r="E803" t="s">
        <v>33</v>
      </c>
      <c r="F803" t="s">
        <v>13</v>
      </c>
      <c r="G803">
        <v>7</v>
      </c>
      <c r="H803">
        <v>1164</v>
      </c>
      <c r="I803" t="str">
        <f>VLOOKUP(D803,Product_Master!A:D,2,FALSE)</f>
        <v>Laptop</v>
      </c>
      <c r="J803" t="str">
        <f>VLOOKUP(D803,Product_Master!A:D,3,FALSE)</f>
        <v>Electronics</v>
      </c>
      <c r="K803">
        <f>VLOOKUP(D803,Product_Master!A:D,4,FALSE)</f>
        <v>900</v>
      </c>
      <c r="L803" t="str">
        <f>VLOOKUP(C803,Customer_Master!A:C,2,FALSE)</f>
        <v>Reliance</v>
      </c>
      <c r="M803" t="str">
        <f>VLOOKUP(C803,Customer_Master!A:C,3,FALSE)</f>
        <v>Corporate</v>
      </c>
      <c r="N803">
        <f>Table1[[#This Row],[Quantity]]*Table1[[#This Row],[Unit_Price]]</f>
        <v>8148</v>
      </c>
      <c r="O803">
        <f>(Table1[[#This Row],[Unit_Price]]-Table1[[#This Row],[Cost_Price]])*Table1[[#This Row],[Quantity]]</f>
        <v>1848</v>
      </c>
      <c r="P803">
        <f t="shared" si="12"/>
        <v>8148</v>
      </c>
      <c r="Q803" t="str">
        <f>TEXT(Table1[[#This Row],[Order_Date]],"mmm-yyyy")</f>
        <v>Mar-2024</v>
      </c>
    </row>
    <row r="804" spans="1:17" x14ac:dyDescent="0.35">
      <c r="A804" t="s">
        <v>1162</v>
      </c>
      <c r="B804" t="s">
        <v>29</v>
      </c>
      <c r="C804" t="s">
        <v>21</v>
      </c>
      <c r="D804" t="s">
        <v>16</v>
      </c>
      <c r="E804" t="s">
        <v>27</v>
      </c>
      <c r="F804" t="s">
        <v>23</v>
      </c>
      <c r="G804">
        <v>2</v>
      </c>
      <c r="H804">
        <v>1520</v>
      </c>
      <c r="I804" t="str">
        <f>VLOOKUP(D804,Product_Master!A:D,2,FALSE)</f>
        <v>Printer</v>
      </c>
      <c r="J804" t="str">
        <f>VLOOKUP(D804,Product_Master!A:D,3,FALSE)</f>
        <v>Electronics</v>
      </c>
      <c r="K804">
        <f>VLOOKUP(D804,Product_Master!A:D,4,FALSE)</f>
        <v>1100</v>
      </c>
      <c r="L804" t="str">
        <f>VLOOKUP(C804,Customer_Master!A:C,2,FALSE)</f>
        <v>Reliance</v>
      </c>
      <c r="M804" t="str">
        <f>VLOOKUP(C804,Customer_Master!A:C,3,FALSE)</f>
        <v>Corporate</v>
      </c>
      <c r="N804">
        <f>Table1[[#This Row],[Quantity]]*Table1[[#This Row],[Unit_Price]]</f>
        <v>3040</v>
      </c>
      <c r="O804">
        <f>(Table1[[#This Row],[Unit_Price]]-Table1[[#This Row],[Cost_Price]])*Table1[[#This Row],[Quantity]]</f>
        <v>840</v>
      </c>
      <c r="P804">
        <f t="shared" si="12"/>
        <v>3040</v>
      </c>
      <c r="Q804" t="str">
        <f>TEXT(Table1[[#This Row],[Order_Date]],"mmm-yyyy")</f>
        <v>Nov-2024</v>
      </c>
    </row>
    <row r="805" spans="1:17" x14ac:dyDescent="0.35">
      <c r="A805" t="s">
        <v>1163</v>
      </c>
      <c r="B805" t="s">
        <v>1164</v>
      </c>
      <c r="C805" t="s">
        <v>21</v>
      </c>
      <c r="D805" t="s">
        <v>22</v>
      </c>
      <c r="E805" t="s">
        <v>27</v>
      </c>
      <c r="F805" t="s">
        <v>18</v>
      </c>
      <c r="G805">
        <v>1</v>
      </c>
      <c r="H805">
        <v>990</v>
      </c>
      <c r="I805" t="str">
        <f>VLOOKUP(D805,Product_Master!A:D,2,FALSE)</f>
        <v>Desk</v>
      </c>
      <c r="J805" t="str">
        <f>VLOOKUP(D805,Product_Master!A:D,3,FALSE)</f>
        <v>Furniture</v>
      </c>
      <c r="K805">
        <f>VLOOKUP(D805,Product_Master!A:D,4,FALSE)</f>
        <v>300</v>
      </c>
      <c r="L805" t="str">
        <f>VLOOKUP(C805,Customer_Master!A:C,2,FALSE)</f>
        <v>Reliance</v>
      </c>
      <c r="M805" t="str">
        <f>VLOOKUP(C805,Customer_Master!A:C,3,FALSE)</f>
        <v>Corporate</v>
      </c>
      <c r="N805">
        <f>Table1[[#This Row],[Quantity]]*Table1[[#This Row],[Unit_Price]]</f>
        <v>990</v>
      </c>
      <c r="O805">
        <f>(Table1[[#This Row],[Unit_Price]]-Table1[[#This Row],[Cost_Price]])*Table1[[#This Row],[Quantity]]</f>
        <v>690</v>
      </c>
      <c r="P805">
        <f t="shared" si="12"/>
        <v>990</v>
      </c>
      <c r="Q805" t="str">
        <f>TEXT(Table1[[#This Row],[Order_Date]],"mmm-yyyy")</f>
        <v>Aug-2024</v>
      </c>
    </row>
    <row r="806" spans="1:17" x14ac:dyDescent="0.35">
      <c r="A806" t="s">
        <v>1165</v>
      </c>
      <c r="B806" t="s">
        <v>609</v>
      </c>
      <c r="C806" t="s">
        <v>30</v>
      </c>
      <c r="D806" t="s">
        <v>22</v>
      </c>
      <c r="E806" t="s">
        <v>17</v>
      </c>
      <c r="F806" t="s">
        <v>13</v>
      </c>
      <c r="G806">
        <v>2</v>
      </c>
      <c r="H806">
        <v>1160</v>
      </c>
      <c r="I806" t="str">
        <f>VLOOKUP(D806,Product_Master!A:D,2,FALSE)</f>
        <v>Desk</v>
      </c>
      <c r="J806" t="str">
        <f>VLOOKUP(D806,Product_Master!A:D,3,FALSE)</f>
        <v>Furniture</v>
      </c>
      <c r="K806">
        <f>VLOOKUP(D806,Product_Master!A:D,4,FALSE)</f>
        <v>300</v>
      </c>
      <c r="L806" t="str">
        <f>VLOOKUP(C806,Customer_Master!A:C,2,FALSE)</f>
        <v>Infosys</v>
      </c>
      <c r="M806" t="str">
        <f>VLOOKUP(C806,Customer_Master!A:C,3,FALSE)</f>
        <v>Corporate</v>
      </c>
      <c r="N806">
        <f>Table1[[#This Row],[Quantity]]*Table1[[#This Row],[Unit_Price]]</f>
        <v>2320</v>
      </c>
      <c r="O806">
        <f>(Table1[[#This Row],[Unit_Price]]-Table1[[#This Row],[Cost_Price]])*Table1[[#This Row],[Quantity]]</f>
        <v>1720</v>
      </c>
      <c r="P806">
        <f t="shared" si="12"/>
        <v>2320</v>
      </c>
      <c r="Q806" t="str">
        <f>TEXT(Table1[[#This Row],[Order_Date]],"mmm-yyyy")</f>
        <v>Apr-2024</v>
      </c>
    </row>
    <row r="807" spans="1:17" x14ac:dyDescent="0.35">
      <c r="A807" t="s">
        <v>1166</v>
      </c>
      <c r="B807" t="s">
        <v>567</v>
      </c>
      <c r="C807" t="s">
        <v>21</v>
      </c>
      <c r="D807" t="s">
        <v>16</v>
      </c>
      <c r="E807" t="s">
        <v>17</v>
      </c>
      <c r="F807" t="s">
        <v>13</v>
      </c>
      <c r="G807">
        <v>1</v>
      </c>
      <c r="H807">
        <v>1064</v>
      </c>
      <c r="I807" t="str">
        <f>VLOOKUP(D807,Product_Master!A:D,2,FALSE)</f>
        <v>Printer</v>
      </c>
      <c r="J807" t="str">
        <f>VLOOKUP(D807,Product_Master!A:D,3,FALSE)</f>
        <v>Electronics</v>
      </c>
      <c r="K807">
        <f>VLOOKUP(D807,Product_Master!A:D,4,FALSE)</f>
        <v>1100</v>
      </c>
      <c r="L807" t="str">
        <f>VLOOKUP(C807,Customer_Master!A:C,2,FALSE)</f>
        <v>Reliance</v>
      </c>
      <c r="M807" t="str">
        <f>VLOOKUP(C807,Customer_Master!A:C,3,FALSE)</f>
        <v>Corporate</v>
      </c>
      <c r="N807">
        <f>Table1[[#This Row],[Quantity]]*Table1[[#This Row],[Unit_Price]]</f>
        <v>1064</v>
      </c>
      <c r="O807">
        <f>(Table1[[#This Row],[Unit_Price]]-Table1[[#This Row],[Cost_Price]])*Table1[[#This Row],[Quantity]]</f>
        <v>-36</v>
      </c>
      <c r="P807">
        <f t="shared" si="12"/>
        <v>1064</v>
      </c>
      <c r="Q807" t="str">
        <f>TEXT(Table1[[#This Row],[Order_Date]],"mmm-yyyy")</f>
        <v>Apr-2024</v>
      </c>
    </row>
    <row r="808" spans="1:17" x14ac:dyDescent="0.35">
      <c r="A808" t="s">
        <v>1167</v>
      </c>
      <c r="B808" t="s">
        <v>783</v>
      </c>
      <c r="C808" t="s">
        <v>10</v>
      </c>
      <c r="D808" t="s">
        <v>11</v>
      </c>
      <c r="E808" t="s">
        <v>27</v>
      </c>
      <c r="F808" t="s">
        <v>13</v>
      </c>
      <c r="G808">
        <v>3</v>
      </c>
      <c r="H808">
        <v>1464</v>
      </c>
      <c r="I808" t="str">
        <f>VLOOKUP(D808,Product_Master!A:D,2,FALSE)</f>
        <v>Chair</v>
      </c>
      <c r="J808" t="str">
        <f>VLOOKUP(D808,Product_Master!A:D,3,FALSE)</f>
        <v>Furniture</v>
      </c>
      <c r="K808">
        <f>VLOOKUP(D808,Product_Master!A:D,4,FALSE)</f>
        <v>150</v>
      </c>
      <c r="L808" t="str">
        <f>VLOOKUP(C808,Customer_Master!A:C,2,FALSE)</f>
        <v>Suresh</v>
      </c>
      <c r="M808" t="str">
        <f>VLOOKUP(C808,Customer_Master!A:C,3,FALSE)</f>
        <v>Consumer</v>
      </c>
      <c r="N808">
        <f>Table1[[#This Row],[Quantity]]*Table1[[#This Row],[Unit_Price]]</f>
        <v>4392</v>
      </c>
      <c r="O808">
        <f>(Table1[[#This Row],[Unit_Price]]-Table1[[#This Row],[Cost_Price]])*Table1[[#This Row],[Quantity]]</f>
        <v>3942</v>
      </c>
      <c r="P808">
        <f t="shared" si="12"/>
        <v>4392</v>
      </c>
      <c r="Q808" t="str">
        <f>TEXT(Table1[[#This Row],[Order_Date]],"mmm-yyyy")</f>
        <v>Jun-2024</v>
      </c>
    </row>
    <row r="809" spans="1:17" x14ac:dyDescent="0.35">
      <c r="A809" t="s">
        <v>1168</v>
      </c>
      <c r="B809" t="s">
        <v>223</v>
      </c>
      <c r="C809" t="s">
        <v>10</v>
      </c>
      <c r="D809" t="s">
        <v>26</v>
      </c>
      <c r="E809" t="s">
        <v>27</v>
      </c>
      <c r="F809" t="s">
        <v>13</v>
      </c>
      <c r="G809">
        <v>7</v>
      </c>
      <c r="H809">
        <v>1832</v>
      </c>
      <c r="I809" t="str">
        <f>VLOOKUP(D809,Product_Master!A:D,2,FALSE)</f>
        <v>Laptop</v>
      </c>
      <c r="J809" t="str">
        <f>VLOOKUP(D809,Product_Master!A:D,3,FALSE)</f>
        <v>Electronics</v>
      </c>
      <c r="K809">
        <f>VLOOKUP(D809,Product_Master!A:D,4,FALSE)</f>
        <v>900</v>
      </c>
      <c r="L809" t="str">
        <f>VLOOKUP(C809,Customer_Master!A:C,2,FALSE)</f>
        <v>Suresh</v>
      </c>
      <c r="M809" t="str">
        <f>VLOOKUP(C809,Customer_Master!A:C,3,FALSE)</f>
        <v>Consumer</v>
      </c>
      <c r="N809">
        <f>Table1[[#This Row],[Quantity]]*Table1[[#This Row],[Unit_Price]]</f>
        <v>12824</v>
      </c>
      <c r="O809">
        <f>(Table1[[#This Row],[Unit_Price]]-Table1[[#This Row],[Cost_Price]])*Table1[[#This Row],[Quantity]]</f>
        <v>6524</v>
      </c>
      <c r="P809">
        <f t="shared" si="12"/>
        <v>12824</v>
      </c>
      <c r="Q809" t="str">
        <f>TEXT(Table1[[#This Row],[Order_Date]],"mmm-yyyy")</f>
        <v>Sep-2024</v>
      </c>
    </row>
    <row r="810" spans="1:17" x14ac:dyDescent="0.35">
      <c r="A810" t="s">
        <v>1169</v>
      </c>
      <c r="B810" t="s">
        <v>191</v>
      </c>
      <c r="C810" t="s">
        <v>45</v>
      </c>
      <c r="D810" t="s">
        <v>11</v>
      </c>
      <c r="E810" t="s">
        <v>33</v>
      </c>
      <c r="F810" t="s">
        <v>34</v>
      </c>
      <c r="G810">
        <v>2</v>
      </c>
      <c r="H810">
        <v>1713</v>
      </c>
      <c r="I810" t="str">
        <f>VLOOKUP(D810,Product_Master!A:D,2,FALSE)</f>
        <v>Chair</v>
      </c>
      <c r="J810" t="str">
        <f>VLOOKUP(D810,Product_Master!A:D,3,FALSE)</f>
        <v>Furniture</v>
      </c>
      <c r="K810">
        <f>VLOOKUP(D810,Product_Master!A:D,4,FALSE)</f>
        <v>150</v>
      </c>
      <c r="L810" t="str">
        <f>VLOOKUP(C810,Customer_Master!A:C,2,FALSE)</f>
        <v>TCS</v>
      </c>
      <c r="M810" t="str">
        <f>VLOOKUP(C810,Customer_Master!A:C,3,FALSE)</f>
        <v>Corporate</v>
      </c>
      <c r="N810">
        <f>Table1[[#This Row],[Quantity]]*Table1[[#This Row],[Unit_Price]]</f>
        <v>3426</v>
      </c>
      <c r="O810">
        <f>(Table1[[#This Row],[Unit_Price]]-Table1[[#This Row],[Cost_Price]])*Table1[[#This Row],[Quantity]]</f>
        <v>3126</v>
      </c>
      <c r="P810">
        <f t="shared" si="12"/>
        <v>3426</v>
      </c>
      <c r="Q810" t="str">
        <f>TEXT(Table1[[#This Row],[Order_Date]],"mmm-yyyy")</f>
        <v>Jul-2024</v>
      </c>
    </row>
    <row r="811" spans="1:17" x14ac:dyDescent="0.35">
      <c r="A811" t="s">
        <v>1170</v>
      </c>
      <c r="B811" t="s">
        <v>319</v>
      </c>
      <c r="C811" t="s">
        <v>21</v>
      </c>
      <c r="D811" t="s">
        <v>11</v>
      </c>
      <c r="E811" t="s">
        <v>27</v>
      </c>
      <c r="F811" t="s">
        <v>13</v>
      </c>
      <c r="G811">
        <v>5</v>
      </c>
      <c r="H811">
        <v>1841</v>
      </c>
      <c r="I811" t="str">
        <f>VLOOKUP(D811,Product_Master!A:D,2,FALSE)</f>
        <v>Chair</v>
      </c>
      <c r="J811" t="str">
        <f>VLOOKUP(D811,Product_Master!A:D,3,FALSE)</f>
        <v>Furniture</v>
      </c>
      <c r="K811">
        <f>VLOOKUP(D811,Product_Master!A:D,4,FALSE)</f>
        <v>150</v>
      </c>
      <c r="L811" t="str">
        <f>VLOOKUP(C811,Customer_Master!A:C,2,FALSE)</f>
        <v>Reliance</v>
      </c>
      <c r="M811" t="str">
        <f>VLOOKUP(C811,Customer_Master!A:C,3,FALSE)</f>
        <v>Corporate</v>
      </c>
      <c r="N811">
        <f>Table1[[#This Row],[Quantity]]*Table1[[#This Row],[Unit_Price]]</f>
        <v>9205</v>
      </c>
      <c r="O811">
        <f>(Table1[[#This Row],[Unit_Price]]-Table1[[#This Row],[Cost_Price]])*Table1[[#This Row],[Quantity]]</f>
        <v>8455</v>
      </c>
      <c r="P811">
        <f t="shared" si="12"/>
        <v>9205</v>
      </c>
      <c r="Q811" t="str">
        <f>TEXT(Table1[[#This Row],[Order_Date]],"mmm-yyyy")</f>
        <v>Sep-2024</v>
      </c>
    </row>
    <row r="812" spans="1:17" x14ac:dyDescent="0.35">
      <c r="A812" t="s">
        <v>1171</v>
      </c>
      <c r="B812" t="s">
        <v>1172</v>
      </c>
      <c r="C812" t="s">
        <v>10</v>
      </c>
      <c r="D812" t="s">
        <v>11</v>
      </c>
      <c r="E812" t="s">
        <v>12</v>
      </c>
      <c r="F812" t="s">
        <v>18</v>
      </c>
      <c r="G812">
        <v>2</v>
      </c>
      <c r="H812">
        <v>1134</v>
      </c>
      <c r="I812" t="str">
        <f>VLOOKUP(D812,Product_Master!A:D,2,FALSE)</f>
        <v>Chair</v>
      </c>
      <c r="J812" t="str">
        <f>VLOOKUP(D812,Product_Master!A:D,3,FALSE)</f>
        <v>Furniture</v>
      </c>
      <c r="K812">
        <f>VLOOKUP(D812,Product_Master!A:D,4,FALSE)</f>
        <v>150</v>
      </c>
      <c r="L812" t="str">
        <f>VLOOKUP(C812,Customer_Master!A:C,2,FALSE)</f>
        <v>Suresh</v>
      </c>
      <c r="M812" t="str">
        <f>VLOOKUP(C812,Customer_Master!A:C,3,FALSE)</f>
        <v>Consumer</v>
      </c>
      <c r="N812">
        <f>Table1[[#This Row],[Quantity]]*Table1[[#This Row],[Unit_Price]]</f>
        <v>2268</v>
      </c>
      <c r="O812">
        <f>(Table1[[#This Row],[Unit_Price]]-Table1[[#This Row],[Cost_Price]])*Table1[[#This Row],[Quantity]]</f>
        <v>1968</v>
      </c>
      <c r="P812">
        <f t="shared" si="12"/>
        <v>2268</v>
      </c>
      <c r="Q812" t="str">
        <f>TEXT(Table1[[#This Row],[Order_Date]],"mmm-yyyy")</f>
        <v>Sep-2024</v>
      </c>
    </row>
    <row r="813" spans="1:17" x14ac:dyDescent="0.35">
      <c r="A813" t="s">
        <v>1173</v>
      </c>
      <c r="B813" t="s">
        <v>177</v>
      </c>
      <c r="C813" t="s">
        <v>10</v>
      </c>
      <c r="D813" t="s">
        <v>26</v>
      </c>
      <c r="E813" t="s">
        <v>17</v>
      </c>
      <c r="F813" t="s">
        <v>13</v>
      </c>
      <c r="G813">
        <v>10</v>
      </c>
      <c r="H813">
        <v>1088</v>
      </c>
      <c r="I813" t="str">
        <f>VLOOKUP(D813,Product_Master!A:D,2,FALSE)</f>
        <v>Laptop</v>
      </c>
      <c r="J813" t="str">
        <f>VLOOKUP(D813,Product_Master!A:D,3,FALSE)</f>
        <v>Electronics</v>
      </c>
      <c r="K813">
        <f>VLOOKUP(D813,Product_Master!A:D,4,FALSE)</f>
        <v>900</v>
      </c>
      <c r="L813" t="str">
        <f>VLOOKUP(C813,Customer_Master!A:C,2,FALSE)</f>
        <v>Suresh</v>
      </c>
      <c r="M813" t="str">
        <f>VLOOKUP(C813,Customer_Master!A:C,3,FALSE)</f>
        <v>Consumer</v>
      </c>
      <c r="N813">
        <f>Table1[[#This Row],[Quantity]]*Table1[[#This Row],[Unit_Price]]</f>
        <v>10880</v>
      </c>
      <c r="O813">
        <f>(Table1[[#This Row],[Unit_Price]]-Table1[[#This Row],[Cost_Price]])*Table1[[#This Row],[Quantity]]</f>
        <v>1880</v>
      </c>
      <c r="P813">
        <f t="shared" si="12"/>
        <v>10880</v>
      </c>
      <c r="Q813" t="str">
        <f>TEXT(Table1[[#This Row],[Order_Date]],"mmm-yyyy")</f>
        <v>Jan-2024</v>
      </c>
    </row>
    <row r="814" spans="1:17" x14ac:dyDescent="0.35">
      <c r="A814" t="s">
        <v>1174</v>
      </c>
      <c r="B814" t="s">
        <v>1175</v>
      </c>
      <c r="C814" t="s">
        <v>42</v>
      </c>
      <c r="D814" t="s">
        <v>11</v>
      </c>
      <c r="E814" t="s">
        <v>17</v>
      </c>
      <c r="F814" t="s">
        <v>34</v>
      </c>
      <c r="G814">
        <v>7</v>
      </c>
      <c r="H814">
        <v>1105</v>
      </c>
      <c r="I814" t="str">
        <f>VLOOKUP(D814,Product_Master!A:D,2,FALSE)</f>
        <v>Chair</v>
      </c>
      <c r="J814" t="str">
        <f>VLOOKUP(D814,Product_Master!A:D,3,FALSE)</f>
        <v>Furniture</v>
      </c>
      <c r="K814">
        <f>VLOOKUP(D814,Product_Master!A:D,4,FALSE)</f>
        <v>150</v>
      </c>
      <c r="L814" t="str">
        <f>VLOOKUP(C814,Customer_Master!A:C,2,FALSE)</f>
        <v>Ramesh</v>
      </c>
      <c r="M814" t="str">
        <f>VLOOKUP(C814,Customer_Master!A:C,3,FALSE)</f>
        <v>Consumer</v>
      </c>
      <c r="N814">
        <f>Table1[[#This Row],[Quantity]]*Table1[[#This Row],[Unit_Price]]</f>
        <v>7735</v>
      </c>
      <c r="O814">
        <f>(Table1[[#This Row],[Unit_Price]]-Table1[[#This Row],[Cost_Price]])*Table1[[#This Row],[Quantity]]</f>
        <v>6685</v>
      </c>
      <c r="P814">
        <f t="shared" si="12"/>
        <v>7735</v>
      </c>
      <c r="Q814" t="str">
        <f>TEXT(Table1[[#This Row],[Order_Date]],"mmm-yyyy")</f>
        <v>Sep-2024</v>
      </c>
    </row>
    <row r="815" spans="1:17" x14ac:dyDescent="0.35">
      <c r="A815" t="s">
        <v>1176</v>
      </c>
      <c r="B815" t="s">
        <v>288</v>
      </c>
      <c r="C815" t="s">
        <v>10</v>
      </c>
      <c r="D815" t="s">
        <v>16</v>
      </c>
      <c r="E815" t="s">
        <v>27</v>
      </c>
      <c r="F815" t="s">
        <v>34</v>
      </c>
      <c r="G815">
        <v>4</v>
      </c>
      <c r="H815">
        <v>1189</v>
      </c>
      <c r="I815" t="str">
        <f>VLOOKUP(D815,Product_Master!A:D,2,FALSE)</f>
        <v>Printer</v>
      </c>
      <c r="J815" t="str">
        <f>VLOOKUP(D815,Product_Master!A:D,3,FALSE)</f>
        <v>Electronics</v>
      </c>
      <c r="K815">
        <f>VLOOKUP(D815,Product_Master!A:D,4,FALSE)</f>
        <v>1100</v>
      </c>
      <c r="L815" t="str">
        <f>VLOOKUP(C815,Customer_Master!A:C,2,FALSE)</f>
        <v>Suresh</v>
      </c>
      <c r="M815" t="str">
        <f>VLOOKUP(C815,Customer_Master!A:C,3,FALSE)</f>
        <v>Consumer</v>
      </c>
      <c r="N815">
        <f>Table1[[#This Row],[Quantity]]*Table1[[#This Row],[Unit_Price]]</f>
        <v>4756</v>
      </c>
      <c r="O815">
        <f>(Table1[[#This Row],[Unit_Price]]-Table1[[#This Row],[Cost_Price]])*Table1[[#This Row],[Quantity]]</f>
        <v>356</v>
      </c>
      <c r="P815">
        <f t="shared" si="12"/>
        <v>4756</v>
      </c>
      <c r="Q815" t="str">
        <f>TEXT(Table1[[#This Row],[Order_Date]],"mmm-yyyy")</f>
        <v>Mar-2024</v>
      </c>
    </row>
    <row r="816" spans="1:17" x14ac:dyDescent="0.35">
      <c r="A816" t="s">
        <v>1177</v>
      </c>
      <c r="B816" t="s">
        <v>421</v>
      </c>
      <c r="C816" t="s">
        <v>42</v>
      </c>
      <c r="D816" t="s">
        <v>11</v>
      </c>
      <c r="E816" t="s">
        <v>17</v>
      </c>
      <c r="F816" t="s">
        <v>23</v>
      </c>
      <c r="G816">
        <v>10</v>
      </c>
      <c r="H816">
        <v>805</v>
      </c>
      <c r="I816" t="str">
        <f>VLOOKUP(D816,Product_Master!A:D,2,FALSE)</f>
        <v>Chair</v>
      </c>
      <c r="J816" t="str">
        <f>VLOOKUP(D816,Product_Master!A:D,3,FALSE)</f>
        <v>Furniture</v>
      </c>
      <c r="K816">
        <f>VLOOKUP(D816,Product_Master!A:D,4,FALSE)</f>
        <v>150</v>
      </c>
      <c r="L816" t="str">
        <f>VLOOKUP(C816,Customer_Master!A:C,2,FALSE)</f>
        <v>Ramesh</v>
      </c>
      <c r="M816" t="str">
        <f>VLOOKUP(C816,Customer_Master!A:C,3,FALSE)</f>
        <v>Consumer</v>
      </c>
      <c r="N816">
        <f>Table1[[#This Row],[Quantity]]*Table1[[#This Row],[Unit_Price]]</f>
        <v>8050</v>
      </c>
      <c r="O816">
        <f>(Table1[[#This Row],[Unit_Price]]-Table1[[#This Row],[Cost_Price]])*Table1[[#This Row],[Quantity]]</f>
        <v>6550</v>
      </c>
      <c r="P816">
        <f t="shared" si="12"/>
        <v>8050</v>
      </c>
      <c r="Q816" t="str">
        <f>TEXT(Table1[[#This Row],[Order_Date]],"mmm-yyyy")</f>
        <v>Jul-2024</v>
      </c>
    </row>
    <row r="817" spans="1:17" x14ac:dyDescent="0.35">
      <c r="A817" t="s">
        <v>1178</v>
      </c>
      <c r="B817" t="s">
        <v>382</v>
      </c>
      <c r="C817" t="s">
        <v>45</v>
      </c>
      <c r="D817" t="s">
        <v>26</v>
      </c>
      <c r="E817" t="s">
        <v>12</v>
      </c>
      <c r="F817" t="s">
        <v>34</v>
      </c>
      <c r="G817">
        <v>2</v>
      </c>
      <c r="H817">
        <v>1250</v>
      </c>
      <c r="I817" t="str">
        <f>VLOOKUP(D817,Product_Master!A:D,2,FALSE)</f>
        <v>Laptop</v>
      </c>
      <c r="J817" t="str">
        <f>VLOOKUP(D817,Product_Master!A:D,3,FALSE)</f>
        <v>Electronics</v>
      </c>
      <c r="K817">
        <f>VLOOKUP(D817,Product_Master!A:D,4,FALSE)</f>
        <v>900</v>
      </c>
      <c r="L817" t="str">
        <f>VLOOKUP(C817,Customer_Master!A:C,2,FALSE)</f>
        <v>TCS</v>
      </c>
      <c r="M817" t="str">
        <f>VLOOKUP(C817,Customer_Master!A:C,3,FALSE)</f>
        <v>Corporate</v>
      </c>
      <c r="N817">
        <f>Table1[[#This Row],[Quantity]]*Table1[[#This Row],[Unit_Price]]</f>
        <v>2500</v>
      </c>
      <c r="O817">
        <f>(Table1[[#This Row],[Unit_Price]]-Table1[[#This Row],[Cost_Price]])*Table1[[#This Row],[Quantity]]</f>
        <v>700</v>
      </c>
      <c r="P817">
        <f t="shared" si="12"/>
        <v>2500</v>
      </c>
      <c r="Q817" t="str">
        <f>TEXT(Table1[[#This Row],[Order_Date]],"mmm-yyyy")</f>
        <v>Feb-2024</v>
      </c>
    </row>
    <row r="818" spans="1:17" x14ac:dyDescent="0.35">
      <c r="A818" t="s">
        <v>1179</v>
      </c>
      <c r="B818" t="s">
        <v>1180</v>
      </c>
      <c r="C818" t="s">
        <v>42</v>
      </c>
      <c r="D818" t="s">
        <v>22</v>
      </c>
      <c r="E818" t="s">
        <v>33</v>
      </c>
      <c r="F818" t="s">
        <v>34</v>
      </c>
      <c r="G818">
        <v>7</v>
      </c>
      <c r="H818">
        <v>1672</v>
      </c>
      <c r="I818" t="str">
        <f>VLOOKUP(D818,Product_Master!A:D,2,FALSE)</f>
        <v>Desk</v>
      </c>
      <c r="J818" t="str">
        <f>VLOOKUP(D818,Product_Master!A:D,3,FALSE)</f>
        <v>Furniture</v>
      </c>
      <c r="K818">
        <f>VLOOKUP(D818,Product_Master!A:D,4,FALSE)</f>
        <v>300</v>
      </c>
      <c r="L818" t="str">
        <f>VLOOKUP(C818,Customer_Master!A:C,2,FALSE)</f>
        <v>Ramesh</v>
      </c>
      <c r="M818" t="str">
        <f>VLOOKUP(C818,Customer_Master!A:C,3,FALSE)</f>
        <v>Consumer</v>
      </c>
      <c r="N818">
        <f>Table1[[#This Row],[Quantity]]*Table1[[#This Row],[Unit_Price]]</f>
        <v>11704</v>
      </c>
      <c r="O818">
        <f>(Table1[[#This Row],[Unit_Price]]-Table1[[#This Row],[Cost_Price]])*Table1[[#This Row],[Quantity]]</f>
        <v>9604</v>
      </c>
      <c r="P818">
        <f t="shared" si="12"/>
        <v>11704</v>
      </c>
      <c r="Q818" t="str">
        <f>TEXT(Table1[[#This Row],[Order_Date]],"mmm-yyyy")</f>
        <v>Jul-2024</v>
      </c>
    </row>
    <row r="819" spans="1:17" x14ac:dyDescent="0.35">
      <c r="A819" t="s">
        <v>1181</v>
      </c>
      <c r="B819" t="s">
        <v>244</v>
      </c>
      <c r="C819" t="s">
        <v>10</v>
      </c>
      <c r="D819" t="s">
        <v>11</v>
      </c>
      <c r="E819" t="s">
        <v>17</v>
      </c>
      <c r="F819" t="s">
        <v>34</v>
      </c>
      <c r="G819">
        <v>7</v>
      </c>
      <c r="H819">
        <v>1930</v>
      </c>
      <c r="I819" t="str">
        <f>VLOOKUP(D819,Product_Master!A:D,2,FALSE)</f>
        <v>Chair</v>
      </c>
      <c r="J819" t="str">
        <f>VLOOKUP(D819,Product_Master!A:D,3,FALSE)</f>
        <v>Furniture</v>
      </c>
      <c r="K819">
        <f>VLOOKUP(D819,Product_Master!A:D,4,FALSE)</f>
        <v>150</v>
      </c>
      <c r="L819" t="str">
        <f>VLOOKUP(C819,Customer_Master!A:C,2,FALSE)</f>
        <v>Suresh</v>
      </c>
      <c r="M819" t="str">
        <f>VLOOKUP(C819,Customer_Master!A:C,3,FALSE)</f>
        <v>Consumer</v>
      </c>
      <c r="N819">
        <f>Table1[[#This Row],[Quantity]]*Table1[[#This Row],[Unit_Price]]</f>
        <v>13510</v>
      </c>
      <c r="O819">
        <f>(Table1[[#This Row],[Unit_Price]]-Table1[[#This Row],[Cost_Price]])*Table1[[#This Row],[Quantity]]</f>
        <v>12460</v>
      </c>
      <c r="P819">
        <f t="shared" si="12"/>
        <v>13510</v>
      </c>
      <c r="Q819" t="str">
        <f>TEXT(Table1[[#This Row],[Order_Date]],"mmm-yyyy")</f>
        <v>Apr-2024</v>
      </c>
    </row>
    <row r="820" spans="1:17" x14ac:dyDescent="0.35">
      <c r="A820" t="s">
        <v>1182</v>
      </c>
      <c r="B820" t="s">
        <v>554</v>
      </c>
      <c r="C820" t="s">
        <v>10</v>
      </c>
      <c r="D820" t="s">
        <v>26</v>
      </c>
      <c r="E820" t="s">
        <v>12</v>
      </c>
      <c r="F820" t="s">
        <v>23</v>
      </c>
      <c r="G820">
        <v>4</v>
      </c>
      <c r="H820">
        <v>1097</v>
      </c>
      <c r="I820" t="str">
        <f>VLOOKUP(D820,Product_Master!A:D,2,FALSE)</f>
        <v>Laptop</v>
      </c>
      <c r="J820" t="str">
        <f>VLOOKUP(D820,Product_Master!A:D,3,FALSE)</f>
        <v>Electronics</v>
      </c>
      <c r="K820">
        <f>VLOOKUP(D820,Product_Master!A:D,4,FALSE)</f>
        <v>900</v>
      </c>
      <c r="L820" t="str">
        <f>VLOOKUP(C820,Customer_Master!A:C,2,FALSE)</f>
        <v>Suresh</v>
      </c>
      <c r="M820" t="str">
        <f>VLOOKUP(C820,Customer_Master!A:C,3,FALSE)</f>
        <v>Consumer</v>
      </c>
      <c r="N820">
        <f>Table1[[#This Row],[Quantity]]*Table1[[#This Row],[Unit_Price]]</f>
        <v>4388</v>
      </c>
      <c r="O820">
        <f>(Table1[[#This Row],[Unit_Price]]-Table1[[#This Row],[Cost_Price]])*Table1[[#This Row],[Quantity]]</f>
        <v>788</v>
      </c>
      <c r="P820">
        <f t="shared" si="12"/>
        <v>4388</v>
      </c>
      <c r="Q820" t="str">
        <f>TEXT(Table1[[#This Row],[Order_Date]],"mmm-yyyy")</f>
        <v>Apr-2024</v>
      </c>
    </row>
    <row r="821" spans="1:17" x14ac:dyDescent="0.35">
      <c r="A821" t="s">
        <v>1183</v>
      </c>
      <c r="B821" t="s">
        <v>221</v>
      </c>
      <c r="C821" t="s">
        <v>10</v>
      </c>
      <c r="D821" t="s">
        <v>22</v>
      </c>
      <c r="E821" t="s">
        <v>17</v>
      </c>
      <c r="F821" t="s">
        <v>18</v>
      </c>
      <c r="G821">
        <v>1</v>
      </c>
      <c r="H821">
        <v>1910</v>
      </c>
      <c r="I821" t="str">
        <f>VLOOKUP(D821,Product_Master!A:D,2,FALSE)</f>
        <v>Desk</v>
      </c>
      <c r="J821" t="str">
        <f>VLOOKUP(D821,Product_Master!A:D,3,FALSE)</f>
        <v>Furniture</v>
      </c>
      <c r="K821">
        <f>VLOOKUP(D821,Product_Master!A:D,4,FALSE)</f>
        <v>300</v>
      </c>
      <c r="L821" t="str">
        <f>VLOOKUP(C821,Customer_Master!A:C,2,FALSE)</f>
        <v>Suresh</v>
      </c>
      <c r="M821" t="str">
        <f>VLOOKUP(C821,Customer_Master!A:C,3,FALSE)</f>
        <v>Consumer</v>
      </c>
      <c r="N821">
        <f>Table1[[#This Row],[Quantity]]*Table1[[#This Row],[Unit_Price]]</f>
        <v>1910</v>
      </c>
      <c r="O821">
        <f>(Table1[[#This Row],[Unit_Price]]-Table1[[#This Row],[Cost_Price]])*Table1[[#This Row],[Quantity]]</f>
        <v>1610</v>
      </c>
      <c r="P821">
        <f t="shared" si="12"/>
        <v>1910</v>
      </c>
      <c r="Q821" t="str">
        <f>TEXT(Table1[[#This Row],[Order_Date]],"mmm-yyyy")</f>
        <v>Sep-2024</v>
      </c>
    </row>
    <row r="822" spans="1:17" x14ac:dyDescent="0.35">
      <c r="A822" t="s">
        <v>1184</v>
      </c>
      <c r="B822" t="s">
        <v>226</v>
      </c>
      <c r="C822" t="s">
        <v>42</v>
      </c>
      <c r="D822" t="s">
        <v>11</v>
      </c>
      <c r="E822" t="s">
        <v>17</v>
      </c>
      <c r="F822" t="s">
        <v>18</v>
      </c>
      <c r="G822">
        <v>2</v>
      </c>
      <c r="H822">
        <v>885</v>
      </c>
      <c r="I822" t="str">
        <f>VLOOKUP(D822,Product_Master!A:D,2,FALSE)</f>
        <v>Chair</v>
      </c>
      <c r="J822" t="str">
        <f>VLOOKUP(D822,Product_Master!A:D,3,FALSE)</f>
        <v>Furniture</v>
      </c>
      <c r="K822">
        <f>VLOOKUP(D822,Product_Master!A:D,4,FALSE)</f>
        <v>150</v>
      </c>
      <c r="L822" t="str">
        <f>VLOOKUP(C822,Customer_Master!A:C,2,FALSE)</f>
        <v>Ramesh</v>
      </c>
      <c r="M822" t="str">
        <f>VLOOKUP(C822,Customer_Master!A:C,3,FALSE)</f>
        <v>Consumer</v>
      </c>
      <c r="N822">
        <f>Table1[[#This Row],[Quantity]]*Table1[[#This Row],[Unit_Price]]</f>
        <v>1770</v>
      </c>
      <c r="O822">
        <f>(Table1[[#This Row],[Unit_Price]]-Table1[[#This Row],[Cost_Price]])*Table1[[#This Row],[Quantity]]</f>
        <v>1470</v>
      </c>
      <c r="P822">
        <f t="shared" si="12"/>
        <v>1770</v>
      </c>
      <c r="Q822" t="str">
        <f>TEXT(Table1[[#This Row],[Order_Date]],"mmm-yyyy")</f>
        <v>May-2024</v>
      </c>
    </row>
    <row r="823" spans="1:17" x14ac:dyDescent="0.35">
      <c r="A823" t="s">
        <v>1185</v>
      </c>
      <c r="B823" t="s">
        <v>41</v>
      </c>
      <c r="C823" t="s">
        <v>42</v>
      </c>
      <c r="D823" t="s">
        <v>37</v>
      </c>
      <c r="E823" t="s">
        <v>12</v>
      </c>
      <c r="F823" t="s">
        <v>23</v>
      </c>
      <c r="G823">
        <v>1</v>
      </c>
      <c r="H823">
        <v>932</v>
      </c>
      <c r="I823" t="str">
        <f>VLOOKUP(D823,Product_Master!A:D,2,FALSE)</f>
        <v>Mobile</v>
      </c>
      <c r="J823" t="str">
        <f>VLOOKUP(D823,Product_Master!A:D,3,FALSE)</f>
        <v>Electronics</v>
      </c>
      <c r="K823">
        <f>VLOOKUP(D823,Product_Master!A:D,4,FALSE)</f>
        <v>600</v>
      </c>
      <c r="L823" t="str">
        <f>VLOOKUP(C823,Customer_Master!A:C,2,FALSE)</f>
        <v>Ramesh</v>
      </c>
      <c r="M823" t="str">
        <f>VLOOKUP(C823,Customer_Master!A:C,3,FALSE)</f>
        <v>Consumer</v>
      </c>
      <c r="N823">
        <f>Table1[[#This Row],[Quantity]]*Table1[[#This Row],[Unit_Price]]</f>
        <v>932</v>
      </c>
      <c r="O823">
        <f>(Table1[[#This Row],[Unit_Price]]-Table1[[#This Row],[Cost_Price]])*Table1[[#This Row],[Quantity]]</f>
        <v>332</v>
      </c>
      <c r="P823">
        <f t="shared" si="12"/>
        <v>932</v>
      </c>
      <c r="Q823" t="str">
        <f>TEXT(Table1[[#This Row],[Order_Date]],"mmm-yyyy")</f>
        <v>Apr-2024</v>
      </c>
    </row>
    <row r="824" spans="1:17" x14ac:dyDescent="0.35">
      <c r="A824" t="s">
        <v>1186</v>
      </c>
      <c r="B824" t="s">
        <v>1187</v>
      </c>
      <c r="C824" t="s">
        <v>30</v>
      </c>
      <c r="D824" t="s">
        <v>16</v>
      </c>
      <c r="E824" t="s">
        <v>17</v>
      </c>
      <c r="F824" t="s">
        <v>34</v>
      </c>
      <c r="G824">
        <v>2</v>
      </c>
      <c r="H824">
        <v>1345</v>
      </c>
      <c r="I824" t="str">
        <f>VLOOKUP(D824,Product_Master!A:D,2,FALSE)</f>
        <v>Printer</v>
      </c>
      <c r="J824" t="str">
        <f>VLOOKUP(D824,Product_Master!A:D,3,FALSE)</f>
        <v>Electronics</v>
      </c>
      <c r="K824">
        <f>VLOOKUP(D824,Product_Master!A:D,4,FALSE)</f>
        <v>1100</v>
      </c>
      <c r="L824" t="str">
        <f>VLOOKUP(C824,Customer_Master!A:C,2,FALSE)</f>
        <v>Infosys</v>
      </c>
      <c r="M824" t="str">
        <f>VLOOKUP(C824,Customer_Master!A:C,3,FALSE)</f>
        <v>Corporate</v>
      </c>
      <c r="N824">
        <f>Table1[[#This Row],[Quantity]]*Table1[[#This Row],[Unit_Price]]</f>
        <v>2690</v>
      </c>
      <c r="O824">
        <f>(Table1[[#This Row],[Unit_Price]]-Table1[[#This Row],[Cost_Price]])*Table1[[#This Row],[Quantity]]</f>
        <v>490</v>
      </c>
      <c r="P824">
        <f t="shared" si="12"/>
        <v>2690</v>
      </c>
      <c r="Q824" t="str">
        <f>TEXT(Table1[[#This Row],[Order_Date]],"mmm-yyyy")</f>
        <v>Dec-2024</v>
      </c>
    </row>
    <row r="825" spans="1:17" x14ac:dyDescent="0.35">
      <c r="A825" t="s">
        <v>1188</v>
      </c>
      <c r="B825" t="s">
        <v>1189</v>
      </c>
      <c r="C825" t="s">
        <v>30</v>
      </c>
      <c r="D825" t="s">
        <v>26</v>
      </c>
      <c r="E825" t="s">
        <v>27</v>
      </c>
      <c r="F825" t="s">
        <v>34</v>
      </c>
      <c r="G825">
        <v>3</v>
      </c>
      <c r="H825">
        <v>1807</v>
      </c>
      <c r="I825" t="str">
        <f>VLOOKUP(D825,Product_Master!A:D,2,FALSE)</f>
        <v>Laptop</v>
      </c>
      <c r="J825" t="str">
        <f>VLOOKUP(D825,Product_Master!A:D,3,FALSE)</f>
        <v>Electronics</v>
      </c>
      <c r="K825">
        <f>VLOOKUP(D825,Product_Master!A:D,4,FALSE)</f>
        <v>900</v>
      </c>
      <c r="L825" t="str">
        <f>VLOOKUP(C825,Customer_Master!A:C,2,FALSE)</f>
        <v>Infosys</v>
      </c>
      <c r="M825" t="str">
        <f>VLOOKUP(C825,Customer_Master!A:C,3,FALSE)</f>
        <v>Corporate</v>
      </c>
      <c r="N825">
        <f>Table1[[#This Row],[Quantity]]*Table1[[#This Row],[Unit_Price]]</f>
        <v>5421</v>
      </c>
      <c r="O825">
        <f>(Table1[[#This Row],[Unit_Price]]-Table1[[#This Row],[Cost_Price]])*Table1[[#This Row],[Quantity]]</f>
        <v>2721</v>
      </c>
      <c r="P825">
        <f t="shared" si="12"/>
        <v>5421</v>
      </c>
      <c r="Q825" t="str">
        <f>TEXT(Table1[[#This Row],[Order_Date]],"mmm-yyyy")</f>
        <v>Mar-2024</v>
      </c>
    </row>
    <row r="826" spans="1:17" x14ac:dyDescent="0.35">
      <c r="A826" t="s">
        <v>1190</v>
      </c>
      <c r="B826" t="s">
        <v>288</v>
      </c>
      <c r="C826" t="s">
        <v>42</v>
      </c>
      <c r="D826" t="s">
        <v>16</v>
      </c>
      <c r="E826" t="s">
        <v>33</v>
      </c>
      <c r="F826" t="s">
        <v>34</v>
      </c>
      <c r="G826">
        <v>3</v>
      </c>
      <c r="H826">
        <v>1909</v>
      </c>
      <c r="I826" t="str">
        <f>VLOOKUP(D826,Product_Master!A:D,2,FALSE)</f>
        <v>Printer</v>
      </c>
      <c r="J826" t="str">
        <f>VLOOKUP(D826,Product_Master!A:D,3,FALSE)</f>
        <v>Electronics</v>
      </c>
      <c r="K826">
        <f>VLOOKUP(D826,Product_Master!A:D,4,FALSE)</f>
        <v>1100</v>
      </c>
      <c r="L826" t="str">
        <f>VLOOKUP(C826,Customer_Master!A:C,2,FALSE)</f>
        <v>Ramesh</v>
      </c>
      <c r="M826" t="str">
        <f>VLOOKUP(C826,Customer_Master!A:C,3,FALSE)</f>
        <v>Consumer</v>
      </c>
      <c r="N826">
        <f>Table1[[#This Row],[Quantity]]*Table1[[#This Row],[Unit_Price]]</f>
        <v>5727</v>
      </c>
      <c r="O826">
        <f>(Table1[[#This Row],[Unit_Price]]-Table1[[#This Row],[Cost_Price]])*Table1[[#This Row],[Quantity]]</f>
        <v>2427</v>
      </c>
      <c r="P826">
        <f t="shared" si="12"/>
        <v>5727</v>
      </c>
      <c r="Q826" t="str">
        <f>TEXT(Table1[[#This Row],[Order_Date]],"mmm-yyyy")</f>
        <v>Mar-2024</v>
      </c>
    </row>
    <row r="827" spans="1:17" x14ac:dyDescent="0.35">
      <c r="A827" t="s">
        <v>1191</v>
      </c>
      <c r="B827" t="s">
        <v>269</v>
      </c>
      <c r="C827" t="s">
        <v>30</v>
      </c>
      <c r="D827" t="s">
        <v>37</v>
      </c>
      <c r="E827" t="s">
        <v>27</v>
      </c>
      <c r="F827" t="s">
        <v>18</v>
      </c>
      <c r="G827">
        <v>8</v>
      </c>
      <c r="H827">
        <v>1936</v>
      </c>
      <c r="I827" t="str">
        <f>VLOOKUP(D827,Product_Master!A:D,2,FALSE)</f>
        <v>Mobile</v>
      </c>
      <c r="J827" t="str">
        <f>VLOOKUP(D827,Product_Master!A:D,3,FALSE)</f>
        <v>Electronics</v>
      </c>
      <c r="K827">
        <f>VLOOKUP(D827,Product_Master!A:D,4,FALSE)</f>
        <v>600</v>
      </c>
      <c r="L827" t="str">
        <f>VLOOKUP(C827,Customer_Master!A:C,2,FALSE)</f>
        <v>Infosys</v>
      </c>
      <c r="M827" t="str">
        <f>VLOOKUP(C827,Customer_Master!A:C,3,FALSE)</f>
        <v>Corporate</v>
      </c>
      <c r="N827">
        <f>Table1[[#This Row],[Quantity]]*Table1[[#This Row],[Unit_Price]]</f>
        <v>15488</v>
      </c>
      <c r="O827">
        <f>(Table1[[#This Row],[Unit_Price]]-Table1[[#This Row],[Cost_Price]])*Table1[[#This Row],[Quantity]]</f>
        <v>10688</v>
      </c>
      <c r="P827">
        <f t="shared" si="12"/>
        <v>15488</v>
      </c>
      <c r="Q827" t="str">
        <f>TEXT(Table1[[#This Row],[Order_Date]],"mmm-yyyy")</f>
        <v>Apr-2024</v>
      </c>
    </row>
    <row r="828" spans="1:17" x14ac:dyDescent="0.35">
      <c r="A828" t="s">
        <v>1192</v>
      </c>
      <c r="B828" t="s">
        <v>600</v>
      </c>
      <c r="C828" t="s">
        <v>21</v>
      </c>
      <c r="D828" t="s">
        <v>26</v>
      </c>
      <c r="E828" t="s">
        <v>27</v>
      </c>
      <c r="F828" t="s">
        <v>13</v>
      </c>
      <c r="G828">
        <v>3</v>
      </c>
      <c r="H828">
        <v>1454</v>
      </c>
      <c r="I828" t="str">
        <f>VLOOKUP(D828,Product_Master!A:D,2,FALSE)</f>
        <v>Laptop</v>
      </c>
      <c r="J828" t="str">
        <f>VLOOKUP(D828,Product_Master!A:D,3,FALSE)</f>
        <v>Electronics</v>
      </c>
      <c r="K828">
        <f>VLOOKUP(D828,Product_Master!A:D,4,FALSE)</f>
        <v>900</v>
      </c>
      <c r="L828" t="str">
        <f>VLOOKUP(C828,Customer_Master!A:C,2,FALSE)</f>
        <v>Reliance</v>
      </c>
      <c r="M828" t="str">
        <f>VLOOKUP(C828,Customer_Master!A:C,3,FALSE)</f>
        <v>Corporate</v>
      </c>
      <c r="N828">
        <f>Table1[[#This Row],[Quantity]]*Table1[[#This Row],[Unit_Price]]</f>
        <v>4362</v>
      </c>
      <c r="O828">
        <f>(Table1[[#This Row],[Unit_Price]]-Table1[[#This Row],[Cost_Price]])*Table1[[#This Row],[Quantity]]</f>
        <v>1662</v>
      </c>
      <c r="P828">
        <f t="shared" si="12"/>
        <v>4362</v>
      </c>
      <c r="Q828" t="str">
        <f>TEXT(Table1[[#This Row],[Order_Date]],"mmm-yyyy")</f>
        <v>Jan-2024</v>
      </c>
    </row>
    <row r="829" spans="1:17" x14ac:dyDescent="0.35">
      <c r="A829" t="s">
        <v>1193</v>
      </c>
      <c r="B829" t="s">
        <v>273</v>
      </c>
      <c r="C829" t="s">
        <v>30</v>
      </c>
      <c r="D829" t="s">
        <v>11</v>
      </c>
      <c r="E829" t="s">
        <v>17</v>
      </c>
      <c r="F829" t="s">
        <v>13</v>
      </c>
      <c r="G829">
        <v>3</v>
      </c>
      <c r="H829">
        <v>1555</v>
      </c>
      <c r="I829" t="str">
        <f>VLOOKUP(D829,Product_Master!A:D,2,FALSE)</f>
        <v>Chair</v>
      </c>
      <c r="J829" t="str">
        <f>VLOOKUP(D829,Product_Master!A:D,3,FALSE)</f>
        <v>Furniture</v>
      </c>
      <c r="K829">
        <f>VLOOKUP(D829,Product_Master!A:D,4,FALSE)</f>
        <v>150</v>
      </c>
      <c r="L829" t="str">
        <f>VLOOKUP(C829,Customer_Master!A:C,2,FALSE)</f>
        <v>Infosys</v>
      </c>
      <c r="M829" t="str">
        <f>VLOOKUP(C829,Customer_Master!A:C,3,FALSE)</f>
        <v>Corporate</v>
      </c>
      <c r="N829">
        <f>Table1[[#This Row],[Quantity]]*Table1[[#This Row],[Unit_Price]]</f>
        <v>4665</v>
      </c>
      <c r="O829">
        <f>(Table1[[#This Row],[Unit_Price]]-Table1[[#This Row],[Cost_Price]])*Table1[[#This Row],[Quantity]]</f>
        <v>4215</v>
      </c>
      <c r="P829">
        <f t="shared" si="12"/>
        <v>4665</v>
      </c>
      <c r="Q829" t="str">
        <f>TEXT(Table1[[#This Row],[Order_Date]],"mmm-yyyy")</f>
        <v>Jun-2024</v>
      </c>
    </row>
    <row r="830" spans="1:17" x14ac:dyDescent="0.35">
      <c r="A830" t="s">
        <v>1194</v>
      </c>
      <c r="B830" t="s">
        <v>151</v>
      </c>
      <c r="C830" t="s">
        <v>10</v>
      </c>
      <c r="D830" t="s">
        <v>16</v>
      </c>
      <c r="E830" t="s">
        <v>17</v>
      </c>
      <c r="F830" t="s">
        <v>18</v>
      </c>
      <c r="G830">
        <v>6</v>
      </c>
      <c r="H830">
        <v>1731</v>
      </c>
      <c r="I830" t="str">
        <f>VLOOKUP(D830,Product_Master!A:D,2,FALSE)</f>
        <v>Printer</v>
      </c>
      <c r="J830" t="str">
        <f>VLOOKUP(D830,Product_Master!A:D,3,FALSE)</f>
        <v>Electronics</v>
      </c>
      <c r="K830">
        <f>VLOOKUP(D830,Product_Master!A:D,4,FALSE)</f>
        <v>1100</v>
      </c>
      <c r="L830" t="str">
        <f>VLOOKUP(C830,Customer_Master!A:C,2,FALSE)</f>
        <v>Suresh</v>
      </c>
      <c r="M830" t="str">
        <f>VLOOKUP(C830,Customer_Master!A:C,3,FALSE)</f>
        <v>Consumer</v>
      </c>
      <c r="N830">
        <f>Table1[[#This Row],[Quantity]]*Table1[[#This Row],[Unit_Price]]</f>
        <v>10386</v>
      </c>
      <c r="O830">
        <f>(Table1[[#This Row],[Unit_Price]]-Table1[[#This Row],[Cost_Price]])*Table1[[#This Row],[Quantity]]</f>
        <v>3786</v>
      </c>
      <c r="P830">
        <f t="shared" si="12"/>
        <v>10386</v>
      </c>
      <c r="Q830" t="str">
        <f>TEXT(Table1[[#This Row],[Order_Date]],"mmm-yyyy")</f>
        <v>Oct-2024</v>
      </c>
    </row>
    <row r="831" spans="1:17" x14ac:dyDescent="0.35">
      <c r="A831" t="s">
        <v>1195</v>
      </c>
      <c r="B831" t="s">
        <v>102</v>
      </c>
      <c r="C831" t="s">
        <v>10</v>
      </c>
      <c r="D831" t="s">
        <v>26</v>
      </c>
      <c r="E831" t="s">
        <v>33</v>
      </c>
      <c r="F831" t="s">
        <v>18</v>
      </c>
      <c r="G831">
        <v>6</v>
      </c>
      <c r="H831">
        <v>1720</v>
      </c>
      <c r="I831" t="str">
        <f>VLOOKUP(D831,Product_Master!A:D,2,FALSE)</f>
        <v>Laptop</v>
      </c>
      <c r="J831" t="str">
        <f>VLOOKUP(D831,Product_Master!A:D,3,FALSE)</f>
        <v>Electronics</v>
      </c>
      <c r="K831">
        <f>VLOOKUP(D831,Product_Master!A:D,4,FALSE)</f>
        <v>900</v>
      </c>
      <c r="L831" t="str">
        <f>VLOOKUP(C831,Customer_Master!A:C,2,FALSE)</f>
        <v>Suresh</v>
      </c>
      <c r="M831" t="str">
        <f>VLOOKUP(C831,Customer_Master!A:C,3,FALSE)</f>
        <v>Consumer</v>
      </c>
      <c r="N831">
        <f>Table1[[#This Row],[Quantity]]*Table1[[#This Row],[Unit_Price]]</f>
        <v>10320</v>
      </c>
      <c r="O831">
        <f>(Table1[[#This Row],[Unit_Price]]-Table1[[#This Row],[Cost_Price]])*Table1[[#This Row],[Quantity]]</f>
        <v>4920</v>
      </c>
      <c r="P831">
        <f t="shared" si="12"/>
        <v>10320</v>
      </c>
      <c r="Q831" t="str">
        <f>TEXT(Table1[[#This Row],[Order_Date]],"mmm-yyyy")</f>
        <v>May-2024</v>
      </c>
    </row>
    <row r="832" spans="1:17" x14ac:dyDescent="0.35">
      <c r="A832" t="s">
        <v>1196</v>
      </c>
      <c r="B832" t="s">
        <v>9</v>
      </c>
      <c r="C832" t="s">
        <v>42</v>
      </c>
      <c r="D832" t="s">
        <v>22</v>
      </c>
      <c r="E832" t="s">
        <v>12</v>
      </c>
      <c r="F832" t="s">
        <v>18</v>
      </c>
      <c r="G832">
        <v>3</v>
      </c>
      <c r="H832">
        <v>1578</v>
      </c>
      <c r="I832" t="str">
        <f>VLOOKUP(D832,Product_Master!A:D,2,FALSE)</f>
        <v>Desk</v>
      </c>
      <c r="J832" t="str">
        <f>VLOOKUP(D832,Product_Master!A:D,3,FALSE)</f>
        <v>Furniture</v>
      </c>
      <c r="K832">
        <f>VLOOKUP(D832,Product_Master!A:D,4,FALSE)</f>
        <v>300</v>
      </c>
      <c r="L832" t="str">
        <f>VLOOKUP(C832,Customer_Master!A:C,2,FALSE)</f>
        <v>Ramesh</v>
      </c>
      <c r="M832" t="str">
        <f>VLOOKUP(C832,Customer_Master!A:C,3,FALSE)</f>
        <v>Consumer</v>
      </c>
      <c r="N832">
        <f>Table1[[#This Row],[Quantity]]*Table1[[#This Row],[Unit_Price]]</f>
        <v>4734</v>
      </c>
      <c r="O832">
        <f>(Table1[[#This Row],[Unit_Price]]-Table1[[#This Row],[Cost_Price]])*Table1[[#This Row],[Quantity]]</f>
        <v>3834</v>
      </c>
      <c r="P832">
        <f t="shared" si="12"/>
        <v>4734</v>
      </c>
      <c r="Q832" t="str">
        <f>TEXT(Table1[[#This Row],[Order_Date]],"mmm-yyyy")</f>
        <v>Jan-2024</v>
      </c>
    </row>
    <row r="833" spans="1:17" x14ac:dyDescent="0.35">
      <c r="A833" t="s">
        <v>1197</v>
      </c>
      <c r="B833" t="s">
        <v>321</v>
      </c>
      <c r="C833" t="s">
        <v>10</v>
      </c>
      <c r="D833" t="s">
        <v>11</v>
      </c>
      <c r="E833" t="s">
        <v>33</v>
      </c>
      <c r="F833" t="s">
        <v>34</v>
      </c>
      <c r="G833">
        <v>4</v>
      </c>
      <c r="H833">
        <v>814</v>
      </c>
      <c r="I833" t="str">
        <f>VLOOKUP(D833,Product_Master!A:D,2,FALSE)</f>
        <v>Chair</v>
      </c>
      <c r="J833" t="str">
        <f>VLOOKUP(D833,Product_Master!A:D,3,FALSE)</f>
        <v>Furniture</v>
      </c>
      <c r="K833">
        <f>VLOOKUP(D833,Product_Master!A:D,4,FALSE)</f>
        <v>150</v>
      </c>
      <c r="L833" t="str">
        <f>VLOOKUP(C833,Customer_Master!A:C,2,FALSE)</f>
        <v>Suresh</v>
      </c>
      <c r="M833" t="str">
        <f>VLOOKUP(C833,Customer_Master!A:C,3,FALSE)</f>
        <v>Consumer</v>
      </c>
      <c r="N833">
        <f>Table1[[#This Row],[Quantity]]*Table1[[#This Row],[Unit_Price]]</f>
        <v>3256</v>
      </c>
      <c r="O833">
        <f>(Table1[[#This Row],[Unit_Price]]-Table1[[#This Row],[Cost_Price]])*Table1[[#This Row],[Quantity]]</f>
        <v>2656</v>
      </c>
      <c r="P833">
        <f t="shared" si="12"/>
        <v>3256</v>
      </c>
      <c r="Q833" t="str">
        <f>TEXT(Table1[[#This Row],[Order_Date]],"mmm-yyyy")</f>
        <v>Aug-2024</v>
      </c>
    </row>
    <row r="834" spans="1:17" x14ac:dyDescent="0.35">
      <c r="A834" t="s">
        <v>1198</v>
      </c>
      <c r="B834" t="s">
        <v>368</v>
      </c>
      <c r="C834" t="s">
        <v>10</v>
      </c>
      <c r="D834" t="s">
        <v>16</v>
      </c>
      <c r="E834" t="s">
        <v>27</v>
      </c>
      <c r="F834" t="s">
        <v>13</v>
      </c>
      <c r="G834">
        <v>3</v>
      </c>
      <c r="H834">
        <v>1497</v>
      </c>
      <c r="I834" t="str">
        <f>VLOOKUP(D834,Product_Master!A:D,2,FALSE)</f>
        <v>Printer</v>
      </c>
      <c r="J834" t="str">
        <f>VLOOKUP(D834,Product_Master!A:D,3,FALSE)</f>
        <v>Electronics</v>
      </c>
      <c r="K834">
        <f>VLOOKUP(D834,Product_Master!A:D,4,FALSE)</f>
        <v>1100</v>
      </c>
      <c r="L834" t="str">
        <f>VLOOKUP(C834,Customer_Master!A:C,2,FALSE)</f>
        <v>Suresh</v>
      </c>
      <c r="M834" t="str">
        <f>VLOOKUP(C834,Customer_Master!A:C,3,FALSE)</f>
        <v>Consumer</v>
      </c>
      <c r="N834">
        <f>Table1[[#This Row],[Quantity]]*Table1[[#This Row],[Unit_Price]]</f>
        <v>4491</v>
      </c>
      <c r="O834">
        <f>(Table1[[#This Row],[Unit_Price]]-Table1[[#This Row],[Cost_Price]])*Table1[[#This Row],[Quantity]]</f>
        <v>1191</v>
      </c>
      <c r="P834">
        <f t="shared" ref="P834:P897" si="13">VALUE(N834)</f>
        <v>4491</v>
      </c>
      <c r="Q834" t="str">
        <f>TEXT(Table1[[#This Row],[Order_Date]],"mmm-yyyy")</f>
        <v>Oct-2024</v>
      </c>
    </row>
    <row r="835" spans="1:17" x14ac:dyDescent="0.35">
      <c r="A835" t="s">
        <v>1199</v>
      </c>
      <c r="B835" t="s">
        <v>1200</v>
      </c>
      <c r="C835" t="s">
        <v>10</v>
      </c>
      <c r="D835" t="s">
        <v>37</v>
      </c>
      <c r="E835" t="s">
        <v>12</v>
      </c>
      <c r="F835" t="s">
        <v>23</v>
      </c>
      <c r="G835">
        <v>7</v>
      </c>
      <c r="H835">
        <v>1154</v>
      </c>
      <c r="I835" t="str">
        <f>VLOOKUP(D835,Product_Master!A:D,2,FALSE)</f>
        <v>Mobile</v>
      </c>
      <c r="J835" t="str">
        <f>VLOOKUP(D835,Product_Master!A:D,3,FALSE)</f>
        <v>Electronics</v>
      </c>
      <c r="K835">
        <f>VLOOKUP(D835,Product_Master!A:D,4,FALSE)</f>
        <v>600</v>
      </c>
      <c r="L835" t="str">
        <f>VLOOKUP(C835,Customer_Master!A:C,2,FALSE)</f>
        <v>Suresh</v>
      </c>
      <c r="M835" t="str">
        <f>VLOOKUP(C835,Customer_Master!A:C,3,FALSE)</f>
        <v>Consumer</v>
      </c>
      <c r="N835">
        <f>Table1[[#This Row],[Quantity]]*Table1[[#This Row],[Unit_Price]]</f>
        <v>8078</v>
      </c>
      <c r="O835">
        <f>(Table1[[#This Row],[Unit_Price]]-Table1[[#This Row],[Cost_Price]])*Table1[[#This Row],[Quantity]]</f>
        <v>3878</v>
      </c>
      <c r="P835">
        <f t="shared" si="13"/>
        <v>8078</v>
      </c>
      <c r="Q835" t="str">
        <f>TEXT(Table1[[#This Row],[Order_Date]],"mmm-yyyy")</f>
        <v>Jan-2024</v>
      </c>
    </row>
    <row r="836" spans="1:17" x14ac:dyDescent="0.35">
      <c r="A836" t="s">
        <v>1201</v>
      </c>
      <c r="B836" t="s">
        <v>413</v>
      </c>
      <c r="C836" t="s">
        <v>30</v>
      </c>
      <c r="D836" t="s">
        <v>11</v>
      </c>
      <c r="E836" t="s">
        <v>17</v>
      </c>
      <c r="F836" t="s">
        <v>13</v>
      </c>
      <c r="G836">
        <v>3</v>
      </c>
      <c r="H836">
        <v>878</v>
      </c>
      <c r="I836" t="str">
        <f>VLOOKUP(D836,Product_Master!A:D,2,FALSE)</f>
        <v>Chair</v>
      </c>
      <c r="J836" t="str">
        <f>VLOOKUP(D836,Product_Master!A:D,3,FALSE)</f>
        <v>Furniture</v>
      </c>
      <c r="K836">
        <f>VLOOKUP(D836,Product_Master!A:D,4,FALSE)</f>
        <v>150</v>
      </c>
      <c r="L836" t="str">
        <f>VLOOKUP(C836,Customer_Master!A:C,2,FALSE)</f>
        <v>Infosys</v>
      </c>
      <c r="M836" t="str">
        <f>VLOOKUP(C836,Customer_Master!A:C,3,FALSE)</f>
        <v>Corporate</v>
      </c>
      <c r="N836">
        <f>Table1[[#This Row],[Quantity]]*Table1[[#This Row],[Unit_Price]]</f>
        <v>2634</v>
      </c>
      <c r="O836">
        <f>(Table1[[#This Row],[Unit_Price]]-Table1[[#This Row],[Cost_Price]])*Table1[[#This Row],[Quantity]]</f>
        <v>2184</v>
      </c>
      <c r="P836">
        <f t="shared" si="13"/>
        <v>2634</v>
      </c>
      <c r="Q836" t="str">
        <f>TEXT(Table1[[#This Row],[Order_Date]],"mmm-yyyy")</f>
        <v>Feb-2024</v>
      </c>
    </row>
    <row r="837" spans="1:17" x14ac:dyDescent="0.35">
      <c r="A837" t="s">
        <v>1202</v>
      </c>
      <c r="B837" t="s">
        <v>711</v>
      </c>
      <c r="C837" t="s">
        <v>21</v>
      </c>
      <c r="D837" t="s">
        <v>11</v>
      </c>
      <c r="E837" t="s">
        <v>27</v>
      </c>
      <c r="F837" t="s">
        <v>13</v>
      </c>
      <c r="G837">
        <v>7</v>
      </c>
      <c r="H837">
        <v>842</v>
      </c>
      <c r="I837" t="str">
        <f>VLOOKUP(D837,Product_Master!A:D,2,FALSE)</f>
        <v>Chair</v>
      </c>
      <c r="J837" t="str">
        <f>VLOOKUP(D837,Product_Master!A:D,3,FALSE)</f>
        <v>Furniture</v>
      </c>
      <c r="K837">
        <f>VLOOKUP(D837,Product_Master!A:D,4,FALSE)</f>
        <v>150</v>
      </c>
      <c r="L837" t="str">
        <f>VLOOKUP(C837,Customer_Master!A:C,2,FALSE)</f>
        <v>Reliance</v>
      </c>
      <c r="M837" t="str">
        <f>VLOOKUP(C837,Customer_Master!A:C,3,FALSE)</f>
        <v>Corporate</v>
      </c>
      <c r="N837">
        <f>Table1[[#This Row],[Quantity]]*Table1[[#This Row],[Unit_Price]]</f>
        <v>5894</v>
      </c>
      <c r="O837">
        <f>(Table1[[#This Row],[Unit_Price]]-Table1[[#This Row],[Cost_Price]])*Table1[[#This Row],[Quantity]]</f>
        <v>4844</v>
      </c>
      <c r="P837">
        <f t="shared" si="13"/>
        <v>5894</v>
      </c>
      <c r="Q837" t="str">
        <f>TEXT(Table1[[#This Row],[Order_Date]],"mmm-yyyy")</f>
        <v>Apr-2024</v>
      </c>
    </row>
    <row r="838" spans="1:17" x14ac:dyDescent="0.35">
      <c r="A838" t="s">
        <v>1203</v>
      </c>
      <c r="B838" t="s">
        <v>685</v>
      </c>
      <c r="C838" t="s">
        <v>21</v>
      </c>
      <c r="D838" t="s">
        <v>37</v>
      </c>
      <c r="E838" t="s">
        <v>33</v>
      </c>
      <c r="F838" t="s">
        <v>23</v>
      </c>
      <c r="G838">
        <v>7</v>
      </c>
      <c r="H838">
        <v>1145</v>
      </c>
      <c r="I838" t="str">
        <f>VLOOKUP(D838,Product_Master!A:D,2,FALSE)</f>
        <v>Mobile</v>
      </c>
      <c r="J838" t="str">
        <f>VLOOKUP(D838,Product_Master!A:D,3,FALSE)</f>
        <v>Electronics</v>
      </c>
      <c r="K838">
        <f>VLOOKUP(D838,Product_Master!A:D,4,FALSE)</f>
        <v>600</v>
      </c>
      <c r="L838" t="str">
        <f>VLOOKUP(C838,Customer_Master!A:C,2,FALSE)</f>
        <v>Reliance</v>
      </c>
      <c r="M838" t="str">
        <f>VLOOKUP(C838,Customer_Master!A:C,3,FALSE)</f>
        <v>Corporate</v>
      </c>
      <c r="N838">
        <f>Table1[[#This Row],[Quantity]]*Table1[[#This Row],[Unit_Price]]</f>
        <v>8015</v>
      </c>
      <c r="O838">
        <f>(Table1[[#This Row],[Unit_Price]]-Table1[[#This Row],[Cost_Price]])*Table1[[#This Row],[Quantity]]</f>
        <v>3815</v>
      </c>
      <c r="P838">
        <f t="shared" si="13"/>
        <v>8015</v>
      </c>
      <c r="Q838" t="str">
        <f>TEXT(Table1[[#This Row],[Order_Date]],"mmm-yyyy")</f>
        <v>Aug-2024</v>
      </c>
    </row>
    <row r="839" spans="1:17" x14ac:dyDescent="0.35">
      <c r="A839" t="s">
        <v>1204</v>
      </c>
      <c r="B839" t="s">
        <v>1187</v>
      </c>
      <c r="C839" t="s">
        <v>45</v>
      </c>
      <c r="D839" t="s">
        <v>16</v>
      </c>
      <c r="E839" t="s">
        <v>27</v>
      </c>
      <c r="F839" t="s">
        <v>23</v>
      </c>
      <c r="G839">
        <v>5</v>
      </c>
      <c r="H839">
        <v>1594</v>
      </c>
      <c r="I839" t="str">
        <f>VLOOKUP(D839,Product_Master!A:D,2,FALSE)</f>
        <v>Printer</v>
      </c>
      <c r="J839" t="str">
        <f>VLOOKUP(D839,Product_Master!A:D,3,FALSE)</f>
        <v>Electronics</v>
      </c>
      <c r="K839">
        <f>VLOOKUP(D839,Product_Master!A:D,4,FALSE)</f>
        <v>1100</v>
      </c>
      <c r="L839" t="str">
        <f>VLOOKUP(C839,Customer_Master!A:C,2,FALSE)</f>
        <v>TCS</v>
      </c>
      <c r="M839" t="str">
        <f>VLOOKUP(C839,Customer_Master!A:C,3,FALSE)</f>
        <v>Corporate</v>
      </c>
      <c r="N839">
        <f>Table1[[#This Row],[Quantity]]*Table1[[#This Row],[Unit_Price]]</f>
        <v>7970</v>
      </c>
      <c r="O839">
        <f>(Table1[[#This Row],[Unit_Price]]-Table1[[#This Row],[Cost_Price]])*Table1[[#This Row],[Quantity]]</f>
        <v>2470</v>
      </c>
      <c r="P839">
        <f t="shared" si="13"/>
        <v>7970</v>
      </c>
      <c r="Q839" t="str">
        <f>TEXT(Table1[[#This Row],[Order_Date]],"mmm-yyyy")</f>
        <v>Dec-2024</v>
      </c>
    </row>
    <row r="840" spans="1:17" x14ac:dyDescent="0.35">
      <c r="A840" t="s">
        <v>1205</v>
      </c>
      <c r="B840" t="s">
        <v>609</v>
      </c>
      <c r="C840" t="s">
        <v>10</v>
      </c>
      <c r="D840" t="s">
        <v>16</v>
      </c>
      <c r="E840" t="s">
        <v>27</v>
      </c>
      <c r="F840" t="s">
        <v>23</v>
      </c>
      <c r="G840">
        <v>1</v>
      </c>
      <c r="H840">
        <v>1402</v>
      </c>
      <c r="I840" t="str">
        <f>VLOOKUP(D840,Product_Master!A:D,2,FALSE)</f>
        <v>Printer</v>
      </c>
      <c r="J840" t="str">
        <f>VLOOKUP(D840,Product_Master!A:D,3,FALSE)</f>
        <v>Electronics</v>
      </c>
      <c r="K840">
        <f>VLOOKUP(D840,Product_Master!A:D,4,FALSE)</f>
        <v>1100</v>
      </c>
      <c r="L840" t="str">
        <f>VLOOKUP(C840,Customer_Master!A:C,2,FALSE)</f>
        <v>Suresh</v>
      </c>
      <c r="M840" t="str">
        <f>VLOOKUP(C840,Customer_Master!A:C,3,FALSE)</f>
        <v>Consumer</v>
      </c>
      <c r="N840">
        <f>Table1[[#This Row],[Quantity]]*Table1[[#This Row],[Unit_Price]]</f>
        <v>1402</v>
      </c>
      <c r="O840">
        <f>(Table1[[#This Row],[Unit_Price]]-Table1[[#This Row],[Cost_Price]])*Table1[[#This Row],[Quantity]]</f>
        <v>302</v>
      </c>
      <c r="P840">
        <f t="shared" si="13"/>
        <v>1402</v>
      </c>
      <c r="Q840" t="str">
        <f>TEXT(Table1[[#This Row],[Order_Date]],"mmm-yyyy")</f>
        <v>Apr-2024</v>
      </c>
    </row>
    <row r="841" spans="1:17" x14ac:dyDescent="0.35">
      <c r="A841" t="s">
        <v>1206</v>
      </c>
      <c r="B841" t="s">
        <v>1207</v>
      </c>
      <c r="C841" t="s">
        <v>30</v>
      </c>
      <c r="D841" t="s">
        <v>37</v>
      </c>
      <c r="E841" t="s">
        <v>27</v>
      </c>
      <c r="F841" t="s">
        <v>23</v>
      </c>
      <c r="G841">
        <v>3</v>
      </c>
      <c r="H841">
        <v>1876</v>
      </c>
      <c r="I841" t="str">
        <f>VLOOKUP(D841,Product_Master!A:D,2,FALSE)</f>
        <v>Mobile</v>
      </c>
      <c r="J841" t="str">
        <f>VLOOKUP(D841,Product_Master!A:D,3,FALSE)</f>
        <v>Electronics</v>
      </c>
      <c r="K841">
        <f>VLOOKUP(D841,Product_Master!A:D,4,FALSE)</f>
        <v>600</v>
      </c>
      <c r="L841" t="str">
        <f>VLOOKUP(C841,Customer_Master!A:C,2,FALSE)</f>
        <v>Infosys</v>
      </c>
      <c r="M841" t="str">
        <f>VLOOKUP(C841,Customer_Master!A:C,3,FALSE)</f>
        <v>Corporate</v>
      </c>
      <c r="N841">
        <f>Table1[[#This Row],[Quantity]]*Table1[[#This Row],[Unit_Price]]</f>
        <v>5628</v>
      </c>
      <c r="O841">
        <f>(Table1[[#This Row],[Unit_Price]]-Table1[[#This Row],[Cost_Price]])*Table1[[#This Row],[Quantity]]</f>
        <v>3828</v>
      </c>
      <c r="P841">
        <f t="shared" si="13"/>
        <v>5628</v>
      </c>
      <c r="Q841" t="str">
        <f>TEXT(Table1[[#This Row],[Order_Date]],"mmm-yyyy")</f>
        <v>Jun-2024</v>
      </c>
    </row>
    <row r="842" spans="1:17" x14ac:dyDescent="0.35">
      <c r="A842" t="s">
        <v>1208</v>
      </c>
      <c r="B842" t="s">
        <v>151</v>
      </c>
      <c r="C842" t="s">
        <v>21</v>
      </c>
      <c r="D842" t="s">
        <v>11</v>
      </c>
      <c r="E842" t="s">
        <v>27</v>
      </c>
      <c r="F842" t="s">
        <v>23</v>
      </c>
      <c r="G842">
        <v>2</v>
      </c>
      <c r="H842">
        <v>1371</v>
      </c>
      <c r="I842" t="str">
        <f>VLOOKUP(D842,Product_Master!A:D,2,FALSE)</f>
        <v>Chair</v>
      </c>
      <c r="J842" t="str">
        <f>VLOOKUP(D842,Product_Master!A:D,3,FALSE)</f>
        <v>Furniture</v>
      </c>
      <c r="K842">
        <f>VLOOKUP(D842,Product_Master!A:D,4,FALSE)</f>
        <v>150</v>
      </c>
      <c r="L842" t="str">
        <f>VLOOKUP(C842,Customer_Master!A:C,2,FALSE)</f>
        <v>Reliance</v>
      </c>
      <c r="M842" t="str">
        <f>VLOOKUP(C842,Customer_Master!A:C,3,FALSE)</f>
        <v>Corporate</v>
      </c>
      <c r="N842">
        <f>Table1[[#This Row],[Quantity]]*Table1[[#This Row],[Unit_Price]]</f>
        <v>2742</v>
      </c>
      <c r="O842">
        <f>(Table1[[#This Row],[Unit_Price]]-Table1[[#This Row],[Cost_Price]])*Table1[[#This Row],[Quantity]]</f>
        <v>2442</v>
      </c>
      <c r="P842">
        <f t="shared" si="13"/>
        <v>2742</v>
      </c>
      <c r="Q842" t="str">
        <f>TEXT(Table1[[#This Row],[Order_Date]],"mmm-yyyy")</f>
        <v>Oct-2024</v>
      </c>
    </row>
    <row r="843" spans="1:17" x14ac:dyDescent="0.35">
      <c r="A843" t="s">
        <v>1209</v>
      </c>
      <c r="B843" t="s">
        <v>488</v>
      </c>
      <c r="C843" t="s">
        <v>42</v>
      </c>
      <c r="D843" t="s">
        <v>11</v>
      </c>
      <c r="E843" t="s">
        <v>17</v>
      </c>
      <c r="F843" t="s">
        <v>18</v>
      </c>
      <c r="G843">
        <v>10</v>
      </c>
      <c r="H843">
        <v>1292</v>
      </c>
      <c r="I843" t="str">
        <f>VLOOKUP(D843,Product_Master!A:D,2,FALSE)</f>
        <v>Chair</v>
      </c>
      <c r="J843" t="str">
        <f>VLOOKUP(D843,Product_Master!A:D,3,FALSE)</f>
        <v>Furniture</v>
      </c>
      <c r="K843">
        <f>VLOOKUP(D843,Product_Master!A:D,4,FALSE)</f>
        <v>150</v>
      </c>
      <c r="L843" t="str">
        <f>VLOOKUP(C843,Customer_Master!A:C,2,FALSE)</f>
        <v>Ramesh</v>
      </c>
      <c r="M843" t="str">
        <f>VLOOKUP(C843,Customer_Master!A:C,3,FALSE)</f>
        <v>Consumer</v>
      </c>
      <c r="N843">
        <f>Table1[[#This Row],[Quantity]]*Table1[[#This Row],[Unit_Price]]</f>
        <v>12920</v>
      </c>
      <c r="O843">
        <f>(Table1[[#This Row],[Unit_Price]]-Table1[[#This Row],[Cost_Price]])*Table1[[#This Row],[Quantity]]</f>
        <v>11420</v>
      </c>
      <c r="P843">
        <f t="shared" si="13"/>
        <v>12920</v>
      </c>
      <c r="Q843" t="str">
        <f>TEXT(Table1[[#This Row],[Order_Date]],"mmm-yyyy")</f>
        <v>Mar-2024</v>
      </c>
    </row>
    <row r="844" spans="1:17" x14ac:dyDescent="0.35">
      <c r="A844" t="s">
        <v>1210</v>
      </c>
      <c r="B844" t="s">
        <v>364</v>
      </c>
      <c r="C844" t="s">
        <v>42</v>
      </c>
      <c r="D844" t="s">
        <v>11</v>
      </c>
      <c r="E844" t="s">
        <v>17</v>
      </c>
      <c r="F844" t="s">
        <v>13</v>
      </c>
      <c r="G844">
        <v>8</v>
      </c>
      <c r="H844">
        <v>1193</v>
      </c>
      <c r="I844" t="str">
        <f>VLOOKUP(D844,Product_Master!A:D,2,FALSE)</f>
        <v>Chair</v>
      </c>
      <c r="J844" t="str">
        <f>VLOOKUP(D844,Product_Master!A:D,3,FALSE)</f>
        <v>Furniture</v>
      </c>
      <c r="K844">
        <f>VLOOKUP(D844,Product_Master!A:D,4,FALSE)</f>
        <v>150</v>
      </c>
      <c r="L844" t="str">
        <f>VLOOKUP(C844,Customer_Master!A:C,2,FALSE)</f>
        <v>Ramesh</v>
      </c>
      <c r="M844" t="str">
        <f>VLOOKUP(C844,Customer_Master!A:C,3,FALSE)</f>
        <v>Consumer</v>
      </c>
      <c r="N844">
        <f>Table1[[#This Row],[Quantity]]*Table1[[#This Row],[Unit_Price]]</f>
        <v>9544</v>
      </c>
      <c r="O844">
        <f>(Table1[[#This Row],[Unit_Price]]-Table1[[#This Row],[Cost_Price]])*Table1[[#This Row],[Quantity]]</f>
        <v>8344</v>
      </c>
      <c r="P844">
        <f t="shared" si="13"/>
        <v>9544</v>
      </c>
      <c r="Q844" t="str">
        <f>TEXT(Table1[[#This Row],[Order_Date]],"mmm-yyyy")</f>
        <v>Aug-2024</v>
      </c>
    </row>
    <row r="845" spans="1:17" x14ac:dyDescent="0.35">
      <c r="A845" t="s">
        <v>1211</v>
      </c>
      <c r="B845" t="s">
        <v>593</v>
      </c>
      <c r="C845" t="s">
        <v>42</v>
      </c>
      <c r="D845" t="s">
        <v>37</v>
      </c>
      <c r="E845" t="s">
        <v>12</v>
      </c>
      <c r="F845" t="s">
        <v>13</v>
      </c>
      <c r="G845">
        <v>8</v>
      </c>
      <c r="H845">
        <v>1071</v>
      </c>
      <c r="I845" t="str">
        <f>VLOOKUP(D845,Product_Master!A:D,2,FALSE)</f>
        <v>Mobile</v>
      </c>
      <c r="J845" t="str">
        <f>VLOOKUP(D845,Product_Master!A:D,3,FALSE)</f>
        <v>Electronics</v>
      </c>
      <c r="K845">
        <f>VLOOKUP(D845,Product_Master!A:D,4,FALSE)</f>
        <v>600</v>
      </c>
      <c r="L845" t="str">
        <f>VLOOKUP(C845,Customer_Master!A:C,2,FALSE)</f>
        <v>Ramesh</v>
      </c>
      <c r="M845" t="str">
        <f>VLOOKUP(C845,Customer_Master!A:C,3,FALSE)</f>
        <v>Consumer</v>
      </c>
      <c r="N845">
        <f>Table1[[#This Row],[Quantity]]*Table1[[#This Row],[Unit_Price]]</f>
        <v>8568</v>
      </c>
      <c r="O845">
        <f>(Table1[[#This Row],[Unit_Price]]-Table1[[#This Row],[Cost_Price]])*Table1[[#This Row],[Quantity]]</f>
        <v>3768</v>
      </c>
      <c r="P845">
        <f t="shared" si="13"/>
        <v>8568</v>
      </c>
      <c r="Q845" t="str">
        <f>TEXT(Table1[[#This Row],[Order_Date]],"mmm-yyyy")</f>
        <v>May-2024</v>
      </c>
    </row>
    <row r="846" spans="1:17" x14ac:dyDescent="0.35">
      <c r="A846" t="s">
        <v>1212</v>
      </c>
      <c r="B846" t="s">
        <v>395</v>
      </c>
      <c r="C846" t="s">
        <v>42</v>
      </c>
      <c r="D846" t="s">
        <v>16</v>
      </c>
      <c r="E846" t="s">
        <v>27</v>
      </c>
      <c r="F846" t="s">
        <v>23</v>
      </c>
      <c r="G846">
        <v>8</v>
      </c>
      <c r="H846">
        <v>1292</v>
      </c>
      <c r="I846" t="str">
        <f>VLOOKUP(D846,Product_Master!A:D,2,FALSE)</f>
        <v>Printer</v>
      </c>
      <c r="J846" t="str">
        <f>VLOOKUP(D846,Product_Master!A:D,3,FALSE)</f>
        <v>Electronics</v>
      </c>
      <c r="K846">
        <f>VLOOKUP(D846,Product_Master!A:D,4,FALSE)</f>
        <v>1100</v>
      </c>
      <c r="L846" t="str">
        <f>VLOOKUP(C846,Customer_Master!A:C,2,FALSE)</f>
        <v>Ramesh</v>
      </c>
      <c r="M846" t="str">
        <f>VLOOKUP(C846,Customer_Master!A:C,3,FALSE)</f>
        <v>Consumer</v>
      </c>
      <c r="N846">
        <f>Table1[[#This Row],[Quantity]]*Table1[[#This Row],[Unit_Price]]</f>
        <v>10336</v>
      </c>
      <c r="O846">
        <f>(Table1[[#This Row],[Unit_Price]]-Table1[[#This Row],[Cost_Price]])*Table1[[#This Row],[Quantity]]</f>
        <v>1536</v>
      </c>
      <c r="P846">
        <f t="shared" si="13"/>
        <v>10336</v>
      </c>
      <c r="Q846" t="str">
        <f>TEXT(Table1[[#This Row],[Order_Date]],"mmm-yyyy")</f>
        <v>Jan-2024</v>
      </c>
    </row>
    <row r="847" spans="1:17" x14ac:dyDescent="0.35">
      <c r="A847" t="s">
        <v>1213</v>
      </c>
      <c r="B847" t="s">
        <v>432</v>
      </c>
      <c r="C847" t="s">
        <v>10</v>
      </c>
      <c r="D847" t="s">
        <v>26</v>
      </c>
      <c r="E847" t="s">
        <v>17</v>
      </c>
      <c r="F847" t="s">
        <v>34</v>
      </c>
      <c r="G847">
        <v>5</v>
      </c>
      <c r="H847">
        <v>1358</v>
      </c>
      <c r="I847" t="str">
        <f>VLOOKUP(D847,Product_Master!A:D,2,FALSE)</f>
        <v>Laptop</v>
      </c>
      <c r="J847" t="str">
        <f>VLOOKUP(D847,Product_Master!A:D,3,FALSE)</f>
        <v>Electronics</v>
      </c>
      <c r="K847">
        <f>VLOOKUP(D847,Product_Master!A:D,4,FALSE)</f>
        <v>900</v>
      </c>
      <c r="L847" t="str">
        <f>VLOOKUP(C847,Customer_Master!A:C,2,FALSE)</f>
        <v>Suresh</v>
      </c>
      <c r="M847" t="str">
        <f>VLOOKUP(C847,Customer_Master!A:C,3,FALSE)</f>
        <v>Consumer</v>
      </c>
      <c r="N847">
        <f>Table1[[#This Row],[Quantity]]*Table1[[#This Row],[Unit_Price]]</f>
        <v>6790</v>
      </c>
      <c r="O847">
        <f>(Table1[[#This Row],[Unit_Price]]-Table1[[#This Row],[Cost_Price]])*Table1[[#This Row],[Quantity]]</f>
        <v>2290</v>
      </c>
      <c r="P847">
        <f t="shared" si="13"/>
        <v>6790</v>
      </c>
      <c r="Q847" t="str">
        <f>TEXT(Table1[[#This Row],[Order_Date]],"mmm-yyyy")</f>
        <v>Jun-2024</v>
      </c>
    </row>
    <row r="848" spans="1:17" x14ac:dyDescent="0.35">
      <c r="A848" t="s">
        <v>1214</v>
      </c>
      <c r="B848" t="s">
        <v>107</v>
      </c>
      <c r="C848" t="s">
        <v>42</v>
      </c>
      <c r="D848" t="s">
        <v>16</v>
      </c>
      <c r="E848" t="s">
        <v>17</v>
      </c>
      <c r="F848" t="s">
        <v>18</v>
      </c>
      <c r="G848">
        <v>2</v>
      </c>
      <c r="H848">
        <v>1181</v>
      </c>
      <c r="I848" t="str">
        <f>VLOOKUP(D848,Product_Master!A:D,2,FALSE)</f>
        <v>Printer</v>
      </c>
      <c r="J848" t="str">
        <f>VLOOKUP(D848,Product_Master!A:D,3,FALSE)</f>
        <v>Electronics</v>
      </c>
      <c r="K848">
        <f>VLOOKUP(D848,Product_Master!A:D,4,FALSE)</f>
        <v>1100</v>
      </c>
      <c r="L848" t="str">
        <f>VLOOKUP(C848,Customer_Master!A:C,2,FALSE)</f>
        <v>Ramesh</v>
      </c>
      <c r="M848" t="str">
        <f>VLOOKUP(C848,Customer_Master!A:C,3,FALSE)</f>
        <v>Consumer</v>
      </c>
      <c r="N848">
        <f>Table1[[#This Row],[Quantity]]*Table1[[#This Row],[Unit_Price]]</f>
        <v>2362</v>
      </c>
      <c r="O848">
        <f>(Table1[[#This Row],[Unit_Price]]-Table1[[#This Row],[Cost_Price]])*Table1[[#This Row],[Quantity]]</f>
        <v>162</v>
      </c>
      <c r="P848">
        <f t="shared" si="13"/>
        <v>2362</v>
      </c>
      <c r="Q848" t="str">
        <f>TEXT(Table1[[#This Row],[Order_Date]],"mmm-yyyy")</f>
        <v>Jul-2024</v>
      </c>
    </row>
    <row r="849" spans="1:17" x14ac:dyDescent="0.35">
      <c r="A849" t="s">
        <v>1215</v>
      </c>
      <c r="B849" t="s">
        <v>9</v>
      </c>
      <c r="C849" t="s">
        <v>10</v>
      </c>
      <c r="D849" t="s">
        <v>26</v>
      </c>
      <c r="E849" t="s">
        <v>33</v>
      </c>
      <c r="F849" t="s">
        <v>13</v>
      </c>
      <c r="G849">
        <v>2</v>
      </c>
      <c r="H849">
        <v>1866</v>
      </c>
      <c r="I849" t="str">
        <f>VLOOKUP(D849,Product_Master!A:D,2,FALSE)</f>
        <v>Laptop</v>
      </c>
      <c r="J849" t="str">
        <f>VLOOKUP(D849,Product_Master!A:D,3,FALSE)</f>
        <v>Electronics</v>
      </c>
      <c r="K849">
        <f>VLOOKUP(D849,Product_Master!A:D,4,FALSE)</f>
        <v>900</v>
      </c>
      <c r="L849" t="str">
        <f>VLOOKUP(C849,Customer_Master!A:C,2,FALSE)</f>
        <v>Suresh</v>
      </c>
      <c r="M849" t="str">
        <f>VLOOKUP(C849,Customer_Master!A:C,3,FALSE)</f>
        <v>Consumer</v>
      </c>
      <c r="N849">
        <f>Table1[[#This Row],[Quantity]]*Table1[[#This Row],[Unit_Price]]</f>
        <v>3732</v>
      </c>
      <c r="O849">
        <f>(Table1[[#This Row],[Unit_Price]]-Table1[[#This Row],[Cost_Price]])*Table1[[#This Row],[Quantity]]</f>
        <v>1932</v>
      </c>
      <c r="P849">
        <f t="shared" si="13"/>
        <v>3732</v>
      </c>
      <c r="Q849" t="str">
        <f>TEXT(Table1[[#This Row],[Order_Date]],"mmm-yyyy")</f>
        <v>Jan-2024</v>
      </c>
    </row>
    <row r="850" spans="1:17" x14ac:dyDescent="0.35">
      <c r="A850" t="s">
        <v>1216</v>
      </c>
      <c r="B850" t="s">
        <v>361</v>
      </c>
      <c r="C850" t="s">
        <v>45</v>
      </c>
      <c r="D850" t="s">
        <v>37</v>
      </c>
      <c r="E850" t="s">
        <v>27</v>
      </c>
      <c r="F850" t="s">
        <v>34</v>
      </c>
      <c r="G850">
        <v>1</v>
      </c>
      <c r="H850">
        <v>981</v>
      </c>
      <c r="I850" t="str">
        <f>VLOOKUP(D850,Product_Master!A:D,2,FALSE)</f>
        <v>Mobile</v>
      </c>
      <c r="J850" t="str">
        <f>VLOOKUP(D850,Product_Master!A:D,3,FALSE)</f>
        <v>Electronics</v>
      </c>
      <c r="K850">
        <f>VLOOKUP(D850,Product_Master!A:D,4,FALSE)</f>
        <v>600</v>
      </c>
      <c r="L850" t="str">
        <f>VLOOKUP(C850,Customer_Master!A:C,2,FALSE)</f>
        <v>TCS</v>
      </c>
      <c r="M850" t="str">
        <f>VLOOKUP(C850,Customer_Master!A:C,3,FALSE)</f>
        <v>Corporate</v>
      </c>
      <c r="N850">
        <f>Table1[[#This Row],[Quantity]]*Table1[[#This Row],[Unit_Price]]</f>
        <v>981</v>
      </c>
      <c r="O850">
        <f>(Table1[[#This Row],[Unit_Price]]-Table1[[#This Row],[Cost_Price]])*Table1[[#This Row],[Quantity]]</f>
        <v>381</v>
      </c>
      <c r="P850">
        <f t="shared" si="13"/>
        <v>981</v>
      </c>
      <c r="Q850" t="str">
        <f>TEXT(Table1[[#This Row],[Order_Date]],"mmm-yyyy")</f>
        <v>Aug-2024</v>
      </c>
    </row>
    <row r="851" spans="1:17" x14ac:dyDescent="0.35">
      <c r="A851" t="s">
        <v>1217</v>
      </c>
      <c r="B851" t="s">
        <v>918</v>
      </c>
      <c r="C851" t="s">
        <v>21</v>
      </c>
      <c r="D851" t="s">
        <v>37</v>
      </c>
      <c r="E851" t="s">
        <v>33</v>
      </c>
      <c r="F851" t="s">
        <v>23</v>
      </c>
      <c r="G851">
        <v>8</v>
      </c>
      <c r="H851">
        <v>1797</v>
      </c>
      <c r="I851" t="str">
        <f>VLOOKUP(D851,Product_Master!A:D,2,FALSE)</f>
        <v>Mobile</v>
      </c>
      <c r="J851" t="str">
        <f>VLOOKUP(D851,Product_Master!A:D,3,FALSE)</f>
        <v>Electronics</v>
      </c>
      <c r="K851">
        <f>VLOOKUP(D851,Product_Master!A:D,4,FALSE)</f>
        <v>600</v>
      </c>
      <c r="L851" t="str">
        <f>VLOOKUP(C851,Customer_Master!A:C,2,FALSE)</f>
        <v>Reliance</v>
      </c>
      <c r="M851" t="str">
        <f>VLOOKUP(C851,Customer_Master!A:C,3,FALSE)</f>
        <v>Corporate</v>
      </c>
      <c r="N851">
        <f>Table1[[#This Row],[Quantity]]*Table1[[#This Row],[Unit_Price]]</f>
        <v>14376</v>
      </c>
      <c r="O851">
        <f>(Table1[[#This Row],[Unit_Price]]-Table1[[#This Row],[Cost_Price]])*Table1[[#This Row],[Quantity]]</f>
        <v>9576</v>
      </c>
      <c r="P851">
        <f t="shared" si="13"/>
        <v>14376</v>
      </c>
      <c r="Q851" t="str">
        <f>TEXT(Table1[[#This Row],[Order_Date]],"mmm-yyyy")</f>
        <v>Dec-2024</v>
      </c>
    </row>
    <row r="852" spans="1:17" x14ac:dyDescent="0.35">
      <c r="A852" t="s">
        <v>1218</v>
      </c>
      <c r="B852" t="s">
        <v>1081</v>
      </c>
      <c r="C852" t="s">
        <v>45</v>
      </c>
      <c r="D852" t="s">
        <v>16</v>
      </c>
      <c r="E852" t="s">
        <v>27</v>
      </c>
      <c r="F852" t="s">
        <v>13</v>
      </c>
      <c r="G852">
        <v>3</v>
      </c>
      <c r="H852">
        <v>1955</v>
      </c>
      <c r="I852" t="str">
        <f>VLOOKUP(D852,Product_Master!A:D,2,FALSE)</f>
        <v>Printer</v>
      </c>
      <c r="J852" t="str">
        <f>VLOOKUP(D852,Product_Master!A:D,3,FALSE)</f>
        <v>Electronics</v>
      </c>
      <c r="K852">
        <f>VLOOKUP(D852,Product_Master!A:D,4,FALSE)</f>
        <v>1100</v>
      </c>
      <c r="L852" t="str">
        <f>VLOOKUP(C852,Customer_Master!A:C,2,FALSE)</f>
        <v>TCS</v>
      </c>
      <c r="M852" t="str">
        <f>VLOOKUP(C852,Customer_Master!A:C,3,FALSE)</f>
        <v>Corporate</v>
      </c>
      <c r="N852">
        <f>Table1[[#This Row],[Quantity]]*Table1[[#This Row],[Unit_Price]]</f>
        <v>5865</v>
      </c>
      <c r="O852">
        <f>(Table1[[#This Row],[Unit_Price]]-Table1[[#This Row],[Cost_Price]])*Table1[[#This Row],[Quantity]]</f>
        <v>2565</v>
      </c>
      <c r="P852">
        <f t="shared" si="13"/>
        <v>5865</v>
      </c>
      <c r="Q852" t="str">
        <f>TEXT(Table1[[#This Row],[Order_Date]],"mmm-yyyy")</f>
        <v>Sep-2024</v>
      </c>
    </row>
    <row r="853" spans="1:17" x14ac:dyDescent="0.35">
      <c r="A853" t="s">
        <v>1219</v>
      </c>
      <c r="B853" t="s">
        <v>259</v>
      </c>
      <c r="C853" t="s">
        <v>10</v>
      </c>
      <c r="D853" t="s">
        <v>37</v>
      </c>
      <c r="E853" t="s">
        <v>27</v>
      </c>
      <c r="F853" t="s">
        <v>23</v>
      </c>
      <c r="G853">
        <v>7</v>
      </c>
      <c r="H853">
        <v>1398</v>
      </c>
      <c r="I853" t="str">
        <f>VLOOKUP(D853,Product_Master!A:D,2,FALSE)</f>
        <v>Mobile</v>
      </c>
      <c r="J853" t="str">
        <f>VLOOKUP(D853,Product_Master!A:D,3,FALSE)</f>
        <v>Electronics</v>
      </c>
      <c r="K853">
        <f>VLOOKUP(D853,Product_Master!A:D,4,FALSE)</f>
        <v>600</v>
      </c>
      <c r="L853" t="str">
        <f>VLOOKUP(C853,Customer_Master!A:C,2,FALSE)</f>
        <v>Suresh</v>
      </c>
      <c r="M853" t="str">
        <f>VLOOKUP(C853,Customer_Master!A:C,3,FALSE)</f>
        <v>Consumer</v>
      </c>
      <c r="N853">
        <f>Table1[[#This Row],[Quantity]]*Table1[[#This Row],[Unit_Price]]</f>
        <v>9786</v>
      </c>
      <c r="O853">
        <f>(Table1[[#This Row],[Unit_Price]]-Table1[[#This Row],[Cost_Price]])*Table1[[#This Row],[Quantity]]</f>
        <v>5586</v>
      </c>
      <c r="P853">
        <f t="shared" si="13"/>
        <v>9786</v>
      </c>
      <c r="Q853" t="str">
        <f>TEXT(Table1[[#This Row],[Order_Date]],"mmm-yyyy")</f>
        <v>Apr-2024</v>
      </c>
    </row>
    <row r="854" spans="1:17" x14ac:dyDescent="0.35">
      <c r="A854" t="s">
        <v>1220</v>
      </c>
      <c r="B854" t="s">
        <v>401</v>
      </c>
      <c r="C854" t="s">
        <v>21</v>
      </c>
      <c r="D854" t="s">
        <v>11</v>
      </c>
      <c r="E854" t="s">
        <v>12</v>
      </c>
      <c r="F854" t="s">
        <v>18</v>
      </c>
      <c r="G854">
        <v>4</v>
      </c>
      <c r="H854">
        <v>1577</v>
      </c>
      <c r="I854" t="str">
        <f>VLOOKUP(D854,Product_Master!A:D,2,FALSE)</f>
        <v>Chair</v>
      </c>
      <c r="J854" t="str">
        <f>VLOOKUP(D854,Product_Master!A:D,3,FALSE)</f>
        <v>Furniture</v>
      </c>
      <c r="K854">
        <f>VLOOKUP(D854,Product_Master!A:D,4,FALSE)</f>
        <v>150</v>
      </c>
      <c r="L854" t="str">
        <f>VLOOKUP(C854,Customer_Master!A:C,2,FALSE)</f>
        <v>Reliance</v>
      </c>
      <c r="M854" t="str">
        <f>VLOOKUP(C854,Customer_Master!A:C,3,FALSE)</f>
        <v>Corporate</v>
      </c>
      <c r="N854">
        <f>Table1[[#This Row],[Quantity]]*Table1[[#This Row],[Unit_Price]]</f>
        <v>6308</v>
      </c>
      <c r="O854">
        <f>(Table1[[#This Row],[Unit_Price]]-Table1[[#This Row],[Cost_Price]])*Table1[[#This Row],[Quantity]]</f>
        <v>5708</v>
      </c>
      <c r="P854">
        <f t="shared" si="13"/>
        <v>6308</v>
      </c>
      <c r="Q854" t="str">
        <f>TEXT(Table1[[#This Row],[Order_Date]],"mmm-yyyy")</f>
        <v>Sep-2024</v>
      </c>
    </row>
    <row r="855" spans="1:17" x14ac:dyDescent="0.35">
      <c r="A855" t="s">
        <v>1221</v>
      </c>
      <c r="B855" t="s">
        <v>397</v>
      </c>
      <c r="C855" t="s">
        <v>42</v>
      </c>
      <c r="D855" t="s">
        <v>26</v>
      </c>
      <c r="E855" t="s">
        <v>33</v>
      </c>
      <c r="F855" t="s">
        <v>13</v>
      </c>
      <c r="G855">
        <v>4</v>
      </c>
      <c r="H855">
        <v>1979</v>
      </c>
      <c r="I855" t="str">
        <f>VLOOKUP(D855,Product_Master!A:D,2,FALSE)</f>
        <v>Laptop</v>
      </c>
      <c r="J855" t="str">
        <f>VLOOKUP(D855,Product_Master!A:D,3,FALSE)</f>
        <v>Electronics</v>
      </c>
      <c r="K855">
        <f>VLOOKUP(D855,Product_Master!A:D,4,FALSE)</f>
        <v>900</v>
      </c>
      <c r="L855" t="str">
        <f>VLOOKUP(C855,Customer_Master!A:C,2,FALSE)</f>
        <v>Ramesh</v>
      </c>
      <c r="M855" t="str">
        <f>VLOOKUP(C855,Customer_Master!A:C,3,FALSE)</f>
        <v>Consumer</v>
      </c>
      <c r="N855">
        <f>Table1[[#This Row],[Quantity]]*Table1[[#This Row],[Unit_Price]]</f>
        <v>7916</v>
      </c>
      <c r="O855">
        <f>(Table1[[#This Row],[Unit_Price]]-Table1[[#This Row],[Cost_Price]])*Table1[[#This Row],[Quantity]]</f>
        <v>4316</v>
      </c>
      <c r="P855">
        <f t="shared" si="13"/>
        <v>7916</v>
      </c>
      <c r="Q855" t="str">
        <f>TEXT(Table1[[#This Row],[Order_Date]],"mmm-yyyy")</f>
        <v>Apr-2024</v>
      </c>
    </row>
    <row r="856" spans="1:17" x14ac:dyDescent="0.35">
      <c r="A856" t="s">
        <v>1222</v>
      </c>
      <c r="B856" t="s">
        <v>371</v>
      </c>
      <c r="C856" t="s">
        <v>45</v>
      </c>
      <c r="D856" t="s">
        <v>16</v>
      </c>
      <c r="E856" t="s">
        <v>33</v>
      </c>
      <c r="F856" t="s">
        <v>13</v>
      </c>
      <c r="G856">
        <v>1</v>
      </c>
      <c r="H856">
        <v>1863</v>
      </c>
      <c r="I856" t="str">
        <f>VLOOKUP(D856,Product_Master!A:D,2,FALSE)</f>
        <v>Printer</v>
      </c>
      <c r="J856" t="str">
        <f>VLOOKUP(D856,Product_Master!A:D,3,FALSE)</f>
        <v>Electronics</v>
      </c>
      <c r="K856">
        <f>VLOOKUP(D856,Product_Master!A:D,4,FALSE)</f>
        <v>1100</v>
      </c>
      <c r="L856" t="str">
        <f>VLOOKUP(C856,Customer_Master!A:C,2,FALSE)</f>
        <v>TCS</v>
      </c>
      <c r="M856" t="str">
        <f>VLOOKUP(C856,Customer_Master!A:C,3,FALSE)</f>
        <v>Corporate</v>
      </c>
      <c r="N856">
        <f>Table1[[#This Row],[Quantity]]*Table1[[#This Row],[Unit_Price]]</f>
        <v>1863</v>
      </c>
      <c r="O856">
        <f>(Table1[[#This Row],[Unit_Price]]-Table1[[#This Row],[Cost_Price]])*Table1[[#This Row],[Quantity]]</f>
        <v>763</v>
      </c>
      <c r="P856">
        <f t="shared" si="13"/>
        <v>1863</v>
      </c>
      <c r="Q856" t="str">
        <f>TEXT(Table1[[#This Row],[Order_Date]],"mmm-yyyy")</f>
        <v>Mar-2024</v>
      </c>
    </row>
    <row r="857" spans="1:17" x14ac:dyDescent="0.35">
      <c r="A857" t="s">
        <v>1223</v>
      </c>
      <c r="B857" t="s">
        <v>552</v>
      </c>
      <c r="C857" t="s">
        <v>21</v>
      </c>
      <c r="D857" t="s">
        <v>16</v>
      </c>
      <c r="E857" t="s">
        <v>17</v>
      </c>
      <c r="F857" t="s">
        <v>23</v>
      </c>
      <c r="G857">
        <v>10</v>
      </c>
      <c r="H857">
        <v>1078</v>
      </c>
      <c r="I857" t="str">
        <f>VLOOKUP(D857,Product_Master!A:D,2,FALSE)</f>
        <v>Printer</v>
      </c>
      <c r="J857" t="str">
        <f>VLOOKUP(D857,Product_Master!A:D,3,FALSE)</f>
        <v>Electronics</v>
      </c>
      <c r="K857">
        <f>VLOOKUP(D857,Product_Master!A:D,4,FALSE)</f>
        <v>1100</v>
      </c>
      <c r="L857" t="str">
        <f>VLOOKUP(C857,Customer_Master!A:C,2,FALSE)</f>
        <v>Reliance</v>
      </c>
      <c r="M857" t="str">
        <f>VLOOKUP(C857,Customer_Master!A:C,3,FALSE)</f>
        <v>Corporate</v>
      </c>
      <c r="N857">
        <f>Table1[[#This Row],[Quantity]]*Table1[[#This Row],[Unit_Price]]</f>
        <v>10780</v>
      </c>
      <c r="O857">
        <f>(Table1[[#This Row],[Unit_Price]]-Table1[[#This Row],[Cost_Price]])*Table1[[#This Row],[Quantity]]</f>
        <v>-220</v>
      </c>
      <c r="P857">
        <f t="shared" si="13"/>
        <v>10780</v>
      </c>
      <c r="Q857" t="str">
        <f>TEXT(Table1[[#This Row],[Order_Date]],"mmm-yyyy")</f>
        <v>Sep-2024</v>
      </c>
    </row>
    <row r="858" spans="1:17" x14ac:dyDescent="0.35">
      <c r="A858" t="s">
        <v>1224</v>
      </c>
      <c r="B858" t="s">
        <v>226</v>
      </c>
      <c r="C858" t="s">
        <v>42</v>
      </c>
      <c r="D858" t="s">
        <v>16</v>
      </c>
      <c r="E858" t="s">
        <v>33</v>
      </c>
      <c r="F858" t="s">
        <v>13</v>
      </c>
      <c r="G858">
        <v>4</v>
      </c>
      <c r="H858">
        <v>1496</v>
      </c>
      <c r="I858" t="str">
        <f>VLOOKUP(D858,Product_Master!A:D,2,FALSE)</f>
        <v>Printer</v>
      </c>
      <c r="J858" t="str">
        <f>VLOOKUP(D858,Product_Master!A:D,3,FALSE)</f>
        <v>Electronics</v>
      </c>
      <c r="K858">
        <f>VLOOKUP(D858,Product_Master!A:D,4,FALSE)</f>
        <v>1100</v>
      </c>
      <c r="L858" t="str">
        <f>VLOOKUP(C858,Customer_Master!A:C,2,FALSE)</f>
        <v>Ramesh</v>
      </c>
      <c r="M858" t="str">
        <f>VLOOKUP(C858,Customer_Master!A:C,3,FALSE)</f>
        <v>Consumer</v>
      </c>
      <c r="N858">
        <f>Table1[[#This Row],[Quantity]]*Table1[[#This Row],[Unit_Price]]</f>
        <v>5984</v>
      </c>
      <c r="O858">
        <f>(Table1[[#This Row],[Unit_Price]]-Table1[[#This Row],[Cost_Price]])*Table1[[#This Row],[Quantity]]</f>
        <v>1584</v>
      </c>
      <c r="P858">
        <f t="shared" si="13"/>
        <v>5984</v>
      </c>
      <c r="Q858" t="str">
        <f>TEXT(Table1[[#This Row],[Order_Date]],"mmm-yyyy")</f>
        <v>May-2024</v>
      </c>
    </row>
    <row r="859" spans="1:17" x14ac:dyDescent="0.35">
      <c r="A859" t="s">
        <v>1225</v>
      </c>
      <c r="B859" t="s">
        <v>951</v>
      </c>
      <c r="C859" t="s">
        <v>10</v>
      </c>
      <c r="D859" t="s">
        <v>16</v>
      </c>
      <c r="E859" t="s">
        <v>17</v>
      </c>
      <c r="F859" t="s">
        <v>34</v>
      </c>
      <c r="G859">
        <v>6</v>
      </c>
      <c r="H859">
        <v>1419</v>
      </c>
      <c r="I859" t="str">
        <f>VLOOKUP(D859,Product_Master!A:D,2,FALSE)</f>
        <v>Printer</v>
      </c>
      <c r="J859" t="str">
        <f>VLOOKUP(D859,Product_Master!A:D,3,FALSE)</f>
        <v>Electronics</v>
      </c>
      <c r="K859">
        <f>VLOOKUP(D859,Product_Master!A:D,4,FALSE)</f>
        <v>1100</v>
      </c>
      <c r="L859" t="str">
        <f>VLOOKUP(C859,Customer_Master!A:C,2,FALSE)</f>
        <v>Suresh</v>
      </c>
      <c r="M859" t="str">
        <f>VLOOKUP(C859,Customer_Master!A:C,3,FALSE)</f>
        <v>Consumer</v>
      </c>
      <c r="N859">
        <f>Table1[[#This Row],[Quantity]]*Table1[[#This Row],[Unit_Price]]</f>
        <v>8514</v>
      </c>
      <c r="O859">
        <f>(Table1[[#This Row],[Unit_Price]]-Table1[[#This Row],[Cost_Price]])*Table1[[#This Row],[Quantity]]</f>
        <v>1914</v>
      </c>
      <c r="P859">
        <f t="shared" si="13"/>
        <v>8514</v>
      </c>
      <c r="Q859" t="str">
        <f>TEXT(Table1[[#This Row],[Order_Date]],"mmm-yyyy")</f>
        <v>Sep-2024</v>
      </c>
    </row>
    <row r="860" spans="1:17" x14ac:dyDescent="0.35">
      <c r="A860" t="s">
        <v>1226</v>
      </c>
      <c r="B860" t="s">
        <v>331</v>
      </c>
      <c r="C860" t="s">
        <v>10</v>
      </c>
      <c r="D860" t="s">
        <v>11</v>
      </c>
      <c r="E860" t="s">
        <v>12</v>
      </c>
      <c r="F860" t="s">
        <v>13</v>
      </c>
      <c r="G860">
        <v>6</v>
      </c>
      <c r="H860">
        <v>1183</v>
      </c>
      <c r="I860" t="str">
        <f>VLOOKUP(D860,Product_Master!A:D,2,FALSE)</f>
        <v>Chair</v>
      </c>
      <c r="J860" t="str">
        <f>VLOOKUP(D860,Product_Master!A:D,3,FALSE)</f>
        <v>Furniture</v>
      </c>
      <c r="K860">
        <f>VLOOKUP(D860,Product_Master!A:D,4,FALSE)</f>
        <v>150</v>
      </c>
      <c r="L860" t="str">
        <f>VLOOKUP(C860,Customer_Master!A:C,2,FALSE)</f>
        <v>Suresh</v>
      </c>
      <c r="M860" t="str">
        <f>VLOOKUP(C860,Customer_Master!A:C,3,FALSE)</f>
        <v>Consumer</v>
      </c>
      <c r="N860">
        <f>Table1[[#This Row],[Quantity]]*Table1[[#This Row],[Unit_Price]]</f>
        <v>7098</v>
      </c>
      <c r="O860">
        <f>(Table1[[#This Row],[Unit_Price]]-Table1[[#This Row],[Cost_Price]])*Table1[[#This Row],[Quantity]]</f>
        <v>6198</v>
      </c>
      <c r="P860">
        <f t="shared" si="13"/>
        <v>7098</v>
      </c>
      <c r="Q860" t="str">
        <f>TEXT(Table1[[#This Row],[Order_Date]],"mmm-yyyy")</f>
        <v>Oct-2024</v>
      </c>
    </row>
    <row r="861" spans="1:17" x14ac:dyDescent="0.35">
      <c r="A861" t="s">
        <v>1227</v>
      </c>
      <c r="B861" t="s">
        <v>301</v>
      </c>
      <c r="C861" t="s">
        <v>30</v>
      </c>
      <c r="D861" t="s">
        <v>11</v>
      </c>
      <c r="E861" t="s">
        <v>17</v>
      </c>
      <c r="F861" t="s">
        <v>13</v>
      </c>
      <c r="G861">
        <v>9</v>
      </c>
      <c r="H861">
        <v>1867</v>
      </c>
      <c r="I861" t="str">
        <f>VLOOKUP(D861,Product_Master!A:D,2,FALSE)</f>
        <v>Chair</v>
      </c>
      <c r="J861" t="str">
        <f>VLOOKUP(D861,Product_Master!A:D,3,FALSE)</f>
        <v>Furniture</v>
      </c>
      <c r="K861">
        <f>VLOOKUP(D861,Product_Master!A:D,4,FALSE)</f>
        <v>150</v>
      </c>
      <c r="L861" t="str">
        <f>VLOOKUP(C861,Customer_Master!A:C,2,FALSE)</f>
        <v>Infosys</v>
      </c>
      <c r="M861" t="str">
        <f>VLOOKUP(C861,Customer_Master!A:C,3,FALSE)</f>
        <v>Corporate</v>
      </c>
      <c r="N861">
        <f>Table1[[#This Row],[Quantity]]*Table1[[#This Row],[Unit_Price]]</f>
        <v>16803</v>
      </c>
      <c r="O861">
        <f>(Table1[[#This Row],[Unit_Price]]-Table1[[#This Row],[Cost_Price]])*Table1[[#This Row],[Quantity]]</f>
        <v>15453</v>
      </c>
      <c r="P861">
        <f t="shared" si="13"/>
        <v>16803</v>
      </c>
      <c r="Q861" t="str">
        <f>TEXT(Table1[[#This Row],[Order_Date]],"mmm-yyyy")</f>
        <v>Mar-2024</v>
      </c>
    </row>
    <row r="862" spans="1:17" x14ac:dyDescent="0.35">
      <c r="A862" t="s">
        <v>1228</v>
      </c>
      <c r="B862" t="s">
        <v>391</v>
      </c>
      <c r="C862" t="s">
        <v>10</v>
      </c>
      <c r="D862" t="s">
        <v>16</v>
      </c>
      <c r="E862" t="s">
        <v>33</v>
      </c>
      <c r="F862" t="s">
        <v>13</v>
      </c>
      <c r="G862">
        <v>4</v>
      </c>
      <c r="H862">
        <v>1265</v>
      </c>
      <c r="I862" t="str">
        <f>VLOOKUP(D862,Product_Master!A:D,2,FALSE)</f>
        <v>Printer</v>
      </c>
      <c r="J862" t="str">
        <f>VLOOKUP(D862,Product_Master!A:D,3,FALSE)</f>
        <v>Electronics</v>
      </c>
      <c r="K862">
        <f>VLOOKUP(D862,Product_Master!A:D,4,FALSE)</f>
        <v>1100</v>
      </c>
      <c r="L862" t="str">
        <f>VLOOKUP(C862,Customer_Master!A:C,2,FALSE)</f>
        <v>Suresh</v>
      </c>
      <c r="M862" t="str">
        <f>VLOOKUP(C862,Customer_Master!A:C,3,FALSE)</f>
        <v>Consumer</v>
      </c>
      <c r="N862">
        <f>Table1[[#This Row],[Quantity]]*Table1[[#This Row],[Unit_Price]]</f>
        <v>5060</v>
      </c>
      <c r="O862">
        <f>(Table1[[#This Row],[Unit_Price]]-Table1[[#This Row],[Cost_Price]])*Table1[[#This Row],[Quantity]]</f>
        <v>660</v>
      </c>
      <c r="P862">
        <f t="shared" si="13"/>
        <v>5060</v>
      </c>
      <c r="Q862" t="str">
        <f>TEXT(Table1[[#This Row],[Order_Date]],"mmm-yyyy")</f>
        <v>Apr-2024</v>
      </c>
    </row>
    <row r="863" spans="1:17" x14ac:dyDescent="0.35">
      <c r="A863" t="s">
        <v>1229</v>
      </c>
      <c r="B863" t="s">
        <v>558</v>
      </c>
      <c r="C863" t="s">
        <v>21</v>
      </c>
      <c r="D863" t="s">
        <v>26</v>
      </c>
      <c r="E863" t="s">
        <v>27</v>
      </c>
      <c r="F863" t="s">
        <v>23</v>
      </c>
      <c r="G863">
        <v>4</v>
      </c>
      <c r="H863">
        <v>1283</v>
      </c>
      <c r="I863" t="str">
        <f>VLOOKUP(D863,Product_Master!A:D,2,FALSE)</f>
        <v>Laptop</v>
      </c>
      <c r="J863" t="str">
        <f>VLOOKUP(D863,Product_Master!A:D,3,FALSE)</f>
        <v>Electronics</v>
      </c>
      <c r="K863">
        <f>VLOOKUP(D863,Product_Master!A:D,4,FALSE)</f>
        <v>900</v>
      </c>
      <c r="L863" t="str">
        <f>VLOOKUP(C863,Customer_Master!A:C,2,FALSE)</f>
        <v>Reliance</v>
      </c>
      <c r="M863" t="str">
        <f>VLOOKUP(C863,Customer_Master!A:C,3,FALSE)</f>
        <v>Corporate</v>
      </c>
      <c r="N863">
        <f>Table1[[#This Row],[Quantity]]*Table1[[#This Row],[Unit_Price]]</f>
        <v>5132</v>
      </c>
      <c r="O863">
        <f>(Table1[[#This Row],[Unit_Price]]-Table1[[#This Row],[Cost_Price]])*Table1[[#This Row],[Quantity]]</f>
        <v>1532</v>
      </c>
      <c r="P863">
        <f t="shared" si="13"/>
        <v>5132</v>
      </c>
      <c r="Q863" t="str">
        <f>TEXT(Table1[[#This Row],[Order_Date]],"mmm-yyyy")</f>
        <v>Jan-2024</v>
      </c>
    </row>
    <row r="864" spans="1:17" x14ac:dyDescent="0.35">
      <c r="A864" t="s">
        <v>1230</v>
      </c>
      <c r="B864" t="s">
        <v>51</v>
      </c>
      <c r="C864" t="s">
        <v>30</v>
      </c>
      <c r="D864" t="s">
        <v>11</v>
      </c>
      <c r="E864" t="s">
        <v>17</v>
      </c>
      <c r="F864" t="s">
        <v>13</v>
      </c>
      <c r="G864">
        <v>10</v>
      </c>
      <c r="H864">
        <v>1386</v>
      </c>
      <c r="I864" t="str">
        <f>VLOOKUP(D864,Product_Master!A:D,2,FALSE)</f>
        <v>Chair</v>
      </c>
      <c r="J864" t="str">
        <f>VLOOKUP(D864,Product_Master!A:D,3,FALSE)</f>
        <v>Furniture</v>
      </c>
      <c r="K864">
        <f>VLOOKUP(D864,Product_Master!A:D,4,FALSE)</f>
        <v>150</v>
      </c>
      <c r="L864" t="str">
        <f>VLOOKUP(C864,Customer_Master!A:C,2,FALSE)</f>
        <v>Infosys</v>
      </c>
      <c r="M864" t="str">
        <f>VLOOKUP(C864,Customer_Master!A:C,3,FALSE)</f>
        <v>Corporate</v>
      </c>
      <c r="N864">
        <f>Table1[[#This Row],[Quantity]]*Table1[[#This Row],[Unit_Price]]</f>
        <v>13860</v>
      </c>
      <c r="O864">
        <f>(Table1[[#This Row],[Unit_Price]]-Table1[[#This Row],[Cost_Price]])*Table1[[#This Row],[Quantity]]</f>
        <v>12360</v>
      </c>
      <c r="P864">
        <f t="shared" si="13"/>
        <v>13860</v>
      </c>
      <c r="Q864" t="str">
        <f>TEXT(Table1[[#This Row],[Order_Date]],"mmm-yyyy")</f>
        <v>Aug-2024</v>
      </c>
    </row>
    <row r="865" spans="1:17" x14ac:dyDescent="0.35">
      <c r="A865" t="s">
        <v>1231</v>
      </c>
      <c r="B865" t="s">
        <v>41</v>
      </c>
      <c r="C865" t="s">
        <v>45</v>
      </c>
      <c r="D865" t="s">
        <v>26</v>
      </c>
      <c r="E865" t="s">
        <v>17</v>
      </c>
      <c r="F865" t="s">
        <v>23</v>
      </c>
      <c r="G865">
        <v>1</v>
      </c>
      <c r="H865">
        <v>954</v>
      </c>
      <c r="I865" t="str">
        <f>VLOOKUP(D865,Product_Master!A:D,2,FALSE)</f>
        <v>Laptop</v>
      </c>
      <c r="J865" t="str">
        <f>VLOOKUP(D865,Product_Master!A:D,3,FALSE)</f>
        <v>Electronics</v>
      </c>
      <c r="K865">
        <f>VLOOKUP(D865,Product_Master!A:D,4,FALSE)</f>
        <v>900</v>
      </c>
      <c r="L865" t="str">
        <f>VLOOKUP(C865,Customer_Master!A:C,2,FALSE)</f>
        <v>TCS</v>
      </c>
      <c r="M865" t="str">
        <f>VLOOKUP(C865,Customer_Master!A:C,3,FALSE)</f>
        <v>Corporate</v>
      </c>
      <c r="N865">
        <f>Table1[[#This Row],[Quantity]]*Table1[[#This Row],[Unit_Price]]</f>
        <v>954</v>
      </c>
      <c r="O865">
        <f>(Table1[[#This Row],[Unit_Price]]-Table1[[#This Row],[Cost_Price]])*Table1[[#This Row],[Quantity]]</f>
        <v>54</v>
      </c>
      <c r="P865">
        <f t="shared" si="13"/>
        <v>954</v>
      </c>
      <c r="Q865" t="str">
        <f>TEXT(Table1[[#This Row],[Order_Date]],"mmm-yyyy")</f>
        <v>Apr-2024</v>
      </c>
    </row>
    <row r="866" spans="1:17" x14ac:dyDescent="0.35">
      <c r="A866" t="s">
        <v>1232</v>
      </c>
      <c r="B866" t="s">
        <v>84</v>
      </c>
      <c r="C866" t="s">
        <v>45</v>
      </c>
      <c r="D866" t="s">
        <v>16</v>
      </c>
      <c r="E866" t="s">
        <v>27</v>
      </c>
      <c r="F866" t="s">
        <v>13</v>
      </c>
      <c r="G866">
        <v>9</v>
      </c>
      <c r="H866">
        <v>1936</v>
      </c>
      <c r="I866" t="str">
        <f>VLOOKUP(D866,Product_Master!A:D,2,FALSE)</f>
        <v>Printer</v>
      </c>
      <c r="J866" t="str">
        <f>VLOOKUP(D866,Product_Master!A:D,3,FALSE)</f>
        <v>Electronics</v>
      </c>
      <c r="K866">
        <f>VLOOKUP(D866,Product_Master!A:D,4,FALSE)</f>
        <v>1100</v>
      </c>
      <c r="L866" t="str">
        <f>VLOOKUP(C866,Customer_Master!A:C,2,FALSE)</f>
        <v>TCS</v>
      </c>
      <c r="M866" t="str">
        <f>VLOOKUP(C866,Customer_Master!A:C,3,FALSE)</f>
        <v>Corporate</v>
      </c>
      <c r="N866">
        <f>Table1[[#This Row],[Quantity]]*Table1[[#This Row],[Unit_Price]]</f>
        <v>17424</v>
      </c>
      <c r="O866">
        <f>(Table1[[#This Row],[Unit_Price]]-Table1[[#This Row],[Cost_Price]])*Table1[[#This Row],[Quantity]]</f>
        <v>7524</v>
      </c>
      <c r="P866">
        <f t="shared" si="13"/>
        <v>17424</v>
      </c>
      <c r="Q866" t="str">
        <f>TEXT(Table1[[#This Row],[Order_Date]],"mmm-yyyy")</f>
        <v>Nov-2024</v>
      </c>
    </row>
    <row r="867" spans="1:17" x14ac:dyDescent="0.35">
      <c r="A867" t="s">
        <v>1233</v>
      </c>
      <c r="B867" t="s">
        <v>672</v>
      </c>
      <c r="C867" t="s">
        <v>21</v>
      </c>
      <c r="D867" t="s">
        <v>37</v>
      </c>
      <c r="E867" t="s">
        <v>12</v>
      </c>
      <c r="F867" t="s">
        <v>18</v>
      </c>
      <c r="G867">
        <v>1</v>
      </c>
      <c r="H867">
        <v>1999</v>
      </c>
      <c r="I867" t="str">
        <f>VLOOKUP(D867,Product_Master!A:D,2,FALSE)</f>
        <v>Mobile</v>
      </c>
      <c r="J867" t="str">
        <f>VLOOKUP(D867,Product_Master!A:D,3,FALSE)</f>
        <v>Electronics</v>
      </c>
      <c r="K867">
        <f>VLOOKUP(D867,Product_Master!A:D,4,FALSE)</f>
        <v>600</v>
      </c>
      <c r="L867" t="str">
        <f>VLOOKUP(C867,Customer_Master!A:C,2,FALSE)</f>
        <v>Reliance</v>
      </c>
      <c r="M867" t="str">
        <f>VLOOKUP(C867,Customer_Master!A:C,3,FALSE)</f>
        <v>Corporate</v>
      </c>
      <c r="N867">
        <f>Table1[[#This Row],[Quantity]]*Table1[[#This Row],[Unit_Price]]</f>
        <v>1999</v>
      </c>
      <c r="O867">
        <f>(Table1[[#This Row],[Unit_Price]]-Table1[[#This Row],[Cost_Price]])*Table1[[#This Row],[Quantity]]</f>
        <v>1399</v>
      </c>
      <c r="P867">
        <f t="shared" si="13"/>
        <v>1999</v>
      </c>
      <c r="Q867" t="str">
        <f>TEXT(Table1[[#This Row],[Order_Date]],"mmm-yyyy")</f>
        <v>Mar-2024</v>
      </c>
    </row>
    <row r="868" spans="1:17" x14ac:dyDescent="0.35">
      <c r="A868" t="s">
        <v>1234</v>
      </c>
      <c r="B868" t="s">
        <v>143</v>
      </c>
      <c r="C868" t="s">
        <v>45</v>
      </c>
      <c r="D868" t="s">
        <v>11</v>
      </c>
      <c r="E868" t="s">
        <v>33</v>
      </c>
      <c r="F868" t="s">
        <v>34</v>
      </c>
      <c r="G868">
        <v>6</v>
      </c>
      <c r="H868">
        <v>1334</v>
      </c>
      <c r="I868" t="str">
        <f>VLOOKUP(D868,Product_Master!A:D,2,FALSE)</f>
        <v>Chair</v>
      </c>
      <c r="J868" t="str">
        <f>VLOOKUP(D868,Product_Master!A:D,3,FALSE)</f>
        <v>Furniture</v>
      </c>
      <c r="K868">
        <f>VLOOKUP(D868,Product_Master!A:D,4,FALSE)</f>
        <v>150</v>
      </c>
      <c r="L868" t="str">
        <f>VLOOKUP(C868,Customer_Master!A:C,2,FALSE)</f>
        <v>TCS</v>
      </c>
      <c r="M868" t="str">
        <f>VLOOKUP(C868,Customer_Master!A:C,3,FALSE)</f>
        <v>Corporate</v>
      </c>
      <c r="N868">
        <f>Table1[[#This Row],[Quantity]]*Table1[[#This Row],[Unit_Price]]</f>
        <v>8004</v>
      </c>
      <c r="O868">
        <f>(Table1[[#This Row],[Unit_Price]]-Table1[[#This Row],[Cost_Price]])*Table1[[#This Row],[Quantity]]</f>
        <v>7104</v>
      </c>
      <c r="P868">
        <f t="shared" si="13"/>
        <v>8004</v>
      </c>
      <c r="Q868" t="str">
        <f>TEXT(Table1[[#This Row],[Order_Date]],"mmm-yyyy")</f>
        <v>May-2024</v>
      </c>
    </row>
    <row r="869" spans="1:17" x14ac:dyDescent="0.35">
      <c r="A869" t="s">
        <v>1235</v>
      </c>
      <c r="B869" t="s">
        <v>1187</v>
      </c>
      <c r="C869" t="s">
        <v>30</v>
      </c>
      <c r="D869" t="s">
        <v>22</v>
      </c>
      <c r="E869" t="s">
        <v>33</v>
      </c>
      <c r="F869" t="s">
        <v>34</v>
      </c>
      <c r="G869">
        <v>4</v>
      </c>
      <c r="H869">
        <v>1487</v>
      </c>
      <c r="I869" t="str">
        <f>VLOOKUP(D869,Product_Master!A:D,2,FALSE)</f>
        <v>Desk</v>
      </c>
      <c r="J869" t="str">
        <f>VLOOKUP(D869,Product_Master!A:D,3,FALSE)</f>
        <v>Furniture</v>
      </c>
      <c r="K869">
        <f>VLOOKUP(D869,Product_Master!A:D,4,FALSE)</f>
        <v>300</v>
      </c>
      <c r="L869" t="str">
        <f>VLOOKUP(C869,Customer_Master!A:C,2,FALSE)</f>
        <v>Infosys</v>
      </c>
      <c r="M869" t="str">
        <f>VLOOKUP(C869,Customer_Master!A:C,3,FALSE)</f>
        <v>Corporate</v>
      </c>
      <c r="N869">
        <f>Table1[[#This Row],[Quantity]]*Table1[[#This Row],[Unit_Price]]</f>
        <v>5948</v>
      </c>
      <c r="O869">
        <f>(Table1[[#This Row],[Unit_Price]]-Table1[[#This Row],[Cost_Price]])*Table1[[#This Row],[Quantity]]</f>
        <v>4748</v>
      </c>
      <c r="P869">
        <f t="shared" si="13"/>
        <v>5948</v>
      </c>
      <c r="Q869" t="str">
        <f>TEXT(Table1[[#This Row],[Order_Date]],"mmm-yyyy")</f>
        <v>Dec-2024</v>
      </c>
    </row>
    <row r="870" spans="1:17" x14ac:dyDescent="0.35">
      <c r="A870" t="s">
        <v>1236</v>
      </c>
      <c r="B870" t="s">
        <v>126</v>
      </c>
      <c r="C870" t="s">
        <v>42</v>
      </c>
      <c r="D870" t="s">
        <v>26</v>
      </c>
      <c r="E870" t="s">
        <v>27</v>
      </c>
      <c r="F870" t="s">
        <v>34</v>
      </c>
      <c r="G870">
        <v>9</v>
      </c>
      <c r="H870">
        <v>1207</v>
      </c>
      <c r="I870" t="str">
        <f>VLOOKUP(D870,Product_Master!A:D,2,FALSE)</f>
        <v>Laptop</v>
      </c>
      <c r="J870" t="str">
        <f>VLOOKUP(D870,Product_Master!A:D,3,FALSE)</f>
        <v>Electronics</v>
      </c>
      <c r="K870">
        <f>VLOOKUP(D870,Product_Master!A:D,4,FALSE)</f>
        <v>900</v>
      </c>
      <c r="L870" t="str">
        <f>VLOOKUP(C870,Customer_Master!A:C,2,FALSE)</f>
        <v>Ramesh</v>
      </c>
      <c r="M870" t="str">
        <f>VLOOKUP(C870,Customer_Master!A:C,3,FALSE)</f>
        <v>Consumer</v>
      </c>
      <c r="N870">
        <f>Table1[[#This Row],[Quantity]]*Table1[[#This Row],[Unit_Price]]</f>
        <v>10863</v>
      </c>
      <c r="O870">
        <f>(Table1[[#This Row],[Unit_Price]]-Table1[[#This Row],[Cost_Price]])*Table1[[#This Row],[Quantity]]</f>
        <v>2763</v>
      </c>
      <c r="P870">
        <f t="shared" si="13"/>
        <v>10863</v>
      </c>
      <c r="Q870" t="str">
        <f>TEXT(Table1[[#This Row],[Order_Date]],"mmm-yyyy")</f>
        <v>Nov-2024</v>
      </c>
    </row>
    <row r="871" spans="1:17" x14ac:dyDescent="0.35">
      <c r="A871" t="s">
        <v>1237</v>
      </c>
      <c r="B871" t="s">
        <v>1077</v>
      </c>
      <c r="C871" t="s">
        <v>10</v>
      </c>
      <c r="D871" t="s">
        <v>16</v>
      </c>
      <c r="E871" t="s">
        <v>17</v>
      </c>
      <c r="F871" t="s">
        <v>23</v>
      </c>
      <c r="G871">
        <v>8</v>
      </c>
      <c r="H871">
        <v>1130</v>
      </c>
      <c r="I871" t="str">
        <f>VLOOKUP(D871,Product_Master!A:D,2,FALSE)</f>
        <v>Printer</v>
      </c>
      <c r="J871" t="str">
        <f>VLOOKUP(D871,Product_Master!A:D,3,FALSE)</f>
        <v>Electronics</v>
      </c>
      <c r="K871">
        <f>VLOOKUP(D871,Product_Master!A:D,4,FALSE)</f>
        <v>1100</v>
      </c>
      <c r="L871" t="str">
        <f>VLOOKUP(C871,Customer_Master!A:C,2,FALSE)</f>
        <v>Suresh</v>
      </c>
      <c r="M871" t="str">
        <f>VLOOKUP(C871,Customer_Master!A:C,3,FALSE)</f>
        <v>Consumer</v>
      </c>
      <c r="N871">
        <f>Table1[[#This Row],[Quantity]]*Table1[[#This Row],[Unit_Price]]</f>
        <v>9040</v>
      </c>
      <c r="O871">
        <f>(Table1[[#This Row],[Unit_Price]]-Table1[[#This Row],[Cost_Price]])*Table1[[#This Row],[Quantity]]</f>
        <v>240</v>
      </c>
      <c r="P871">
        <f t="shared" si="13"/>
        <v>9040</v>
      </c>
      <c r="Q871" t="str">
        <f>TEXT(Table1[[#This Row],[Order_Date]],"mmm-yyyy")</f>
        <v>Mar-2024</v>
      </c>
    </row>
    <row r="872" spans="1:17" x14ac:dyDescent="0.35">
      <c r="A872" t="s">
        <v>1238</v>
      </c>
      <c r="B872" t="s">
        <v>693</v>
      </c>
      <c r="C872" t="s">
        <v>30</v>
      </c>
      <c r="D872" t="s">
        <v>22</v>
      </c>
      <c r="E872" t="s">
        <v>33</v>
      </c>
      <c r="F872" t="s">
        <v>13</v>
      </c>
      <c r="G872">
        <v>3</v>
      </c>
      <c r="H872">
        <v>1865</v>
      </c>
      <c r="I872" t="str">
        <f>VLOOKUP(D872,Product_Master!A:D,2,FALSE)</f>
        <v>Desk</v>
      </c>
      <c r="J872" t="str">
        <f>VLOOKUP(D872,Product_Master!A:D,3,FALSE)</f>
        <v>Furniture</v>
      </c>
      <c r="K872">
        <f>VLOOKUP(D872,Product_Master!A:D,4,FALSE)</f>
        <v>300</v>
      </c>
      <c r="L872" t="str">
        <f>VLOOKUP(C872,Customer_Master!A:C,2,FALSE)</f>
        <v>Infosys</v>
      </c>
      <c r="M872" t="str">
        <f>VLOOKUP(C872,Customer_Master!A:C,3,FALSE)</f>
        <v>Corporate</v>
      </c>
      <c r="N872">
        <f>Table1[[#This Row],[Quantity]]*Table1[[#This Row],[Unit_Price]]</f>
        <v>5595</v>
      </c>
      <c r="O872">
        <f>(Table1[[#This Row],[Unit_Price]]-Table1[[#This Row],[Cost_Price]])*Table1[[#This Row],[Quantity]]</f>
        <v>4695</v>
      </c>
      <c r="P872">
        <f t="shared" si="13"/>
        <v>5595</v>
      </c>
      <c r="Q872" t="str">
        <f>TEXT(Table1[[#This Row],[Order_Date]],"mmm-yyyy")</f>
        <v>May-2024</v>
      </c>
    </row>
    <row r="873" spans="1:17" x14ac:dyDescent="0.35">
      <c r="A873" t="s">
        <v>1239</v>
      </c>
      <c r="B873" t="s">
        <v>191</v>
      </c>
      <c r="C873" t="s">
        <v>30</v>
      </c>
      <c r="D873" t="s">
        <v>16</v>
      </c>
      <c r="E873" t="s">
        <v>17</v>
      </c>
      <c r="F873" t="s">
        <v>18</v>
      </c>
      <c r="G873">
        <v>3</v>
      </c>
      <c r="H873">
        <v>914</v>
      </c>
      <c r="I873" t="str">
        <f>VLOOKUP(D873,Product_Master!A:D,2,FALSE)</f>
        <v>Printer</v>
      </c>
      <c r="J873" t="str">
        <f>VLOOKUP(D873,Product_Master!A:D,3,FALSE)</f>
        <v>Electronics</v>
      </c>
      <c r="K873">
        <f>VLOOKUP(D873,Product_Master!A:D,4,FALSE)</f>
        <v>1100</v>
      </c>
      <c r="L873" t="str">
        <f>VLOOKUP(C873,Customer_Master!A:C,2,FALSE)</f>
        <v>Infosys</v>
      </c>
      <c r="M873" t="str">
        <f>VLOOKUP(C873,Customer_Master!A:C,3,FALSE)</f>
        <v>Corporate</v>
      </c>
      <c r="N873">
        <f>Table1[[#This Row],[Quantity]]*Table1[[#This Row],[Unit_Price]]</f>
        <v>2742</v>
      </c>
      <c r="O873">
        <f>(Table1[[#This Row],[Unit_Price]]-Table1[[#This Row],[Cost_Price]])*Table1[[#This Row],[Quantity]]</f>
        <v>-558</v>
      </c>
      <c r="P873">
        <f t="shared" si="13"/>
        <v>2742</v>
      </c>
      <c r="Q873" t="str">
        <f>TEXT(Table1[[#This Row],[Order_Date]],"mmm-yyyy")</f>
        <v>Jul-2024</v>
      </c>
    </row>
    <row r="874" spans="1:17" x14ac:dyDescent="0.35">
      <c r="A874" t="s">
        <v>1240</v>
      </c>
      <c r="B874" t="s">
        <v>286</v>
      </c>
      <c r="C874" t="s">
        <v>45</v>
      </c>
      <c r="D874" t="s">
        <v>22</v>
      </c>
      <c r="E874" t="s">
        <v>27</v>
      </c>
      <c r="F874" t="s">
        <v>34</v>
      </c>
      <c r="G874">
        <v>8</v>
      </c>
      <c r="H874">
        <v>1515</v>
      </c>
      <c r="I874" t="str">
        <f>VLOOKUP(D874,Product_Master!A:D,2,FALSE)</f>
        <v>Desk</v>
      </c>
      <c r="J874" t="str">
        <f>VLOOKUP(D874,Product_Master!A:D,3,FALSE)</f>
        <v>Furniture</v>
      </c>
      <c r="K874">
        <f>VLOOKUP(D874,Product_Master!A:D,4,FALSE)</f>
        <v>300</v>
      </c>
      <c r="L874" t="str">
        <f>VLOOKUP(C874,Customer_Master!A:C,2,FALSE)</f>
        <v>TCS</v>
      </c>
      <c r="M874" t="str">
        <f>VLOOKUP(C874,Customer_Master!A:C,3,FALSE)</f>
        <v>Corporate</v>
      </c>
      <c r="N874">
        <f>Table1[[#This Row],[Quantity]]*Table1[[#This Row],[Unit_Price]]</f>
        <v>12120</v>
      </c>
      <c r="O874">
        <f>(Table1[[#This Row],[Unit_Price]]-Table1[[#This Row],[Cost_Price]])*Table1[[#This Row],[Quantity]]</f>
        <v>9720</v>
      </c>
      <c r="P874">
        <f t="shared" si="13"/>
        <v>12120</v>
      </c>
      <c r="Q874" t="str">
        <f>TEXT(Table1[[#This Row],[Order_Date]],"mmm-yyyy")</f>
        <v>Mar-2024</v>
      </c>
    </row>
    <row r="875" spans="1:17" x14ac:dyDescent="0.35">
      <c r="A875" t="s">
        <v>1241</v>
      </c>
      <c r="B875" t="s">
        <v>1242</v>
      </c>
      <c r="C875" t="s">
        <v>45</v>
      </c>
      <c r="D875" t="s">
        <v>11</v>
      </c>
      <c r="E875" t="s">
        <v>12</v>
      </c>
      <c r="F875" t="s">
        <v>18</v>
      </c>
      <c r="G875">
        <v>9</v>
      </c>
      <c r="H875">
        <v>844</v>
      </c>
      <c r="I875" t="str">
        <f>VLOOKUP(D875,Product_Master!A:D,2,FALSE)</f>
        <v>Chair</v>
      </c>
      <c r="J875" t="str">
        <f>VLOOKUP(D875,Product_Master!A:D,3,FALSE)</f>
        <v>Furniture</v>
      </c>
      <c r="K875">
        <f>VLOOKUP(D875,Product_Master!A:D,4,FALSE)</f>
        <v>150</v>
      </c>
      <c r="L875" t="str">
        <f>VLOOKUP(C875,Customer_Master!A:C,2,FALSE)</f>
        <v>TCS</v>
      </c>
      <c r="M875" t="str">
        <f>VLOOKUP(C875,Customer_Master!A:C,3,FALSE)</f>
        <v>Corporate</v>
      </c>
      <c r="N875">
        <f>Table1[[#This Row],[Quantity]]*Table1[[#This Row],[Unit_Price]]</f>
        <v>7596</v>
      </c>
      <c r="O875">
        <f>(Table1[[#This Row],[Unit_Price]]-Table1[[#This Row],[Cost_Price]])*Table1[[#This Row],[Quantity]]</f>
        <v>6246</v>
      </c>
      <c r="P875">
        <f t="shared" si="13"/>
        <v>7596</v>
      </c>
      <c r="Q875" t="str">
        <f>TEXT(Table1[[#This Row],[Order_Date]],"mmm-yyyy")</f>
        <v>Jul-2024</v>
      </c>
    </row>
    <row r="876" spans="1:17" x14ac:dyDescent="0.35">
      <c r="A876" t="s">
        <v>1243</v>
      </c>
      <c r="B876" t="s">
        <v>384</v>
      </c>
      <c r="C876" t="s">
        <v>45</v>
      </c>
      <c r="D876" t="s">
        <v>11</v>
      </c>
      <c r="E876" t="s">
        <v>27</v>
      </c>
      <c r="F876" t="s">
        <v>13</v>
      </c>
      <c r="G876">
        <v>5</v>
      </c>
      <c r="H876">
        <v>1027</v>
      </c>
      <c r="I876" t="str">
        <f>VLOOKUP(D876,Product_Master!A:D,2,FALSE)</f>
        <v>Chair</v>
      </c>
      <c r="J876" t="str">
        <f>VLOOKUP(D876,Product_Master!A:D,3,FALSE)</f>
        <v>Furniture</v>
      </c>
      <c r="K876">
        <f>VLOOKUP(D876,Product_Master!A:D,4,FALSE)</f>
        <v>150</v>
      </c>
      <c r="L876" t="str">
        <f>VLOOKUP(C876,Customer_Master!A:C,2,FALSE)</f>
        <v>TCS</v>
      </c>
      <c r="M876" t="str">
        <f>VLOOKUP(C876,Customer_Master!A:C,3,FALSE)</f>
        <v>Corporate</v>
      </c>
      <c r="N876">
        <f>Table1[[#This Row],[Quantity]]*Table1[[#This Row],[Unit_Price]]</f>
        <v>5135</v>
      </c>
      <c r="O876">
        <f>(Table1[[#This Row],[Unit_Price]]-Table1[[#This Row],[Cost_Price]])*Table1[[#This Row],[Quantity]]</f>
        <v>4385</v>
      </c>
      <c r="P876">
        <f t="shared" si="13"/>
        <v>5135</v>
      </c>
      <c r="Q876" t="str">
        <f>TEXT(Table1[[#This Row],[Order_Date]],"mmm-yyyy")</f>
        <v>Jan-2024</v>
      </c>
    </row>
    <row r="877" spans="1:17" x14ac:dyDescent="0.35">
      <c r="A877" t="s">
        <v>1244</v>
      </c>
      <c r="B877" t="s">
        <v>411</v>
      </c>
      <c r="C877" t="s">
        <v>42</v>
      </c>
      <c r="D877" t="s">
        <v>11</v>
      </c>
      <c r="E877" t="s">
        <v>33</v>
      </c>
      <c r="F877" t="s">
        <v>13</v>
      </c>
      <c r="G877">
        <v>7</v>
      </c>
      <c r="H877">
        <v>1274</v>
      </c>
      <c r="I877" t="str">
        <f>VLOOKUP(D877,Product_Master!A:D,2,FALSE)</f>
        <v>Chair</v>
      </c>
      <c r="J877" t="str">
        <f>VLOOKUP(D877,Product_Master!A:D,3,FALSE)</f>
        <v>Furniture</v>
      </c>
      <c r="K877">
        <f>VLOOKUP(D877,Product_Master!A:D,4,FALSE)</f>
        <v>150</v>
      </c>
      <c r="L877" t="str">
        <f>VLOOKUP(C877,Customer_Master!A:C,2,FALSE)</f>
        <v>Ramesh</v>
      </c>
      <c r="M877" t="str">
        <f>VLOOKUP(C877,Customer_Master!A:C,3,FALSE)</f>
        <v>Consumer</v>
      </c>
      <c r="N877">
        <f>Table1[[#This Row],[Quantity]]*Table1[[#This Row],[Unit_Price]]</f>
        <v>8918</v>
      </c>
      <c r="O877">
        <f>(Table1[[#This Row],[Unit_Price]]-Table1[[#This Row],[Cost_Price]])*Table1[[#This Row],[Quantity]]</f>
        <v>7868</v>
      </c>
      <c r="P877">
        <f t="shared" si="13"/>
        <v>8918</v>
      </c>
      <c r="Q877" t="str">
        <f>TEXT(Table1[[#This Row],[Order_Date]],"mmm-yyyy")</f>
        <v>Apr-2024</v>
      </c>
    </row>
    <row r="878" spans="1:17" x14ac:dyDescent="0.35">
      <c r="A878" t="s">
        <v>1245</v>
      </c>
      <c r="B878" t="s">
        <v>82</v>
      </c>
      <c r="C878" t="s">
        <v>10</v>
      </c>
      <c r="D878" t="s">
        <v>22</v>
      </c>
      <c r="E878" t="s">
        <v>17</v>
      </c>
      <c r="F878" t="s">
        <v>23</v>
      </c>
      <c r="G878">
        <v>2</v>
      </c>
      <c r="H878">
        <v>1710</v>
      </c>
      <c r="I878" t="str">
        <f>VLOOKUP(D878,Product_Master!A:D,2,FALSE)</f>
        <v>Desk</v>
      </c>
      <c r="J878" t="str">
        <f>VLOOKUP(D878,Product_Master!A:D,3,FALSE)</f>
        <v>Furniture</v>
      </c>
      <c r="K878">
        <f>VLOOKUP(D878,Product_Master!A:D,4,FALSE)</f>
        <v>300</v>
      </c>
      <c r="L878" t="str">
        <f>VLOOKUP(C878,Customer_Master!A:C,2,FALSE)</f>
        <v>Suresh</v>
      </c>
      <c r="M878" t="str">
        <f>VLOOKUP(C878,Customer_Master!A:C,3,FALSE)</f>
        <v>Consumer</v>
      </c>
      <c r="N878">
        <f>Table1[[#This Row],[Quantity]]*Table1[[#This Row],[Unit_Price]]</f>
        <v>3420</v>
      </c>
      <c r="O878">
        <f>(Table1[[#This Row],[Unit_Price]]-Table1[[#This Row],[Cost_Price]])*Table1[[#This Row],[Quantity]]</f>
        <v>2820</v>
      </c>
      <c r="P878">
        <f t="shared" si="13"/>
        <v>3420</v>
      </c>
      <c r="Q878" t="str">
        <f>TEXT(Table1[[#This Row],[Order_Date]],"mmm-yyyy")</f>
        <v>Jan-2024</v>
      </c>
    </row>
    <row r="879" spans="1:17" x14ac:dyDescent="0.35">
      <c r="A879" t="s">
        <v>1246</v>
      </c>
      <c r="B879" t="s">
        <v>726</v>
      </c>
      <c r="C879" t="s">
        <v>30</v>
      </c>
      <c r="D879" t="s">
        <v>26</v>
      </c>
      <c r="E879" t="s">
        <v>33</v>
      </c>
      <c r="F879" t="s">
        <v>13</v>
      </c>
      <c r="G879">
        <v>9</v>
      </c>
      <c r="H879">
        <v>1239</v>
      </c>
      <c r="I879" t="str">
        <f>VLOOKUP(D879,Product_Master!A:D,2,FALSE)</f>
        <v>Laptop</v>
      </c>
      <c r="J879" t="str">
        <f>VLOOKUP(D879,Product_Master!A:D,3,FALSE)</f>
        <v>Electronics</v>
      </c>
      <c r="K879">
        <f>VLOOKUP(D879,Product_Master!A:D,4,FALSE)</f>
        <v>900</v>
      </c>
      <c r="L879" t="str">
        <f>VLOOKUP(C879,Customer_Master!A:C,2,FALSE)</f>
        <v>Infosys</v>
      </c>
      <c r="M879" t="str">
        <f>VLOOKUP(C879,Customer_Master!A:C,3,FALSE)</f>
        <v>Corporate</v>
      </c>
      <c r="N879">
        <f>Table1[[#This Row],[Quantity]]*Table1[[#This Row],[Unit_Price]]</f>
        <v>11151</v>
      </c>
      <c r="O879">
        <f>(Table1[[#This Row],[Unit_Price]]-Table1[[#This Row],[Cost_Price]])*Table1[[#This Row],[Quantity]]</f>
        <v>3051</v>
      </c>
      <c r="P879">
        <f t="shared" si="13"/>
        <v>11151</v>
      </c>
      <c r="Q879" t="str">
        <f>TEXT(Table1[[#This Row],[Order_Date]],"mmm-yyyy")</f>
        <v>Oct-2024</v>
      </c>
    </row>
    <row r="880" spans="1:17" x14ac:dyDescent="0.35">
      <c r="A880" t="s">
        <v>1247</v>
      </c>
      <c r="B880" t="s">
        <v>384</v>
      </c>
      <c r="C880" t="s">
        <v>42</v>
      </c>
      <c r="D880" t="s">
        <v>37</v>
      </c>
      <c r="E880" t="s">
        <v>33</v>
      </c>
      <c r="F880" t="s">
        <v>23</v>
      </c>
      <c r="G880">
        <v>9</v>
      </c>
      <c r="H880">
        <v>1417</v>
      </c>
      <c r="I880" t="str">
        <f>VLOOKUP(D880,Product_Master!A:D,2,FALSE)</f>
        <v>Mobile</v>
      </c>
      <c r="J880" t="str">
        <f>VLOOKUP(D880,Product_Master!A:D,3,FALSE)</f>
        <v>Electronics</v>
      </c>
      <c r="K880">
        <f>VLOOKUP(D880,Product_Master!A:D,4,FALSE)</f>
        <v>600</v>
      </c>
      <c r="L880" t="str">
        <f>VLOOKUP(C880,Customer_Master!A:C,2,FALSE)</f>
        <v>Ramesh</v>
      </c>
      <c r="M880" t="str">
        <f>VLOOKUP(C880,Customer_Master!A:C,3,FALSE)</f>
        <v>Consumer</v>
      </c>
      <c r="N880">
        <f>Table1[[#This Row],[Quantity]]*Table1[[#This Row],[Unit_Price]]</f>
        <v>12753</v>
      </c>
      <c r="O880">
        <f>(Table1[[#This Row],[Unit_Price]]-Table1[[#This Row],[Cost_Price]])*Table1[[#This Row],[Quantity]]</f>
        <v>7353</v>
      </c>
      <c r="P880">
        <f t="shared" si="13"/>
        <v>12753</v>
      </c>
      <c r="Q880" t="str">
        <f>TEXT(Table1[[#This Row],[Order_Date]],"mmm-yyyy")</f>
        <v>Jan-2024</v>
      </c>
    </row>
    <row r="881" spans="1:17" x14ac:dyDescent="0.35">
      <c r="A881" t="s">
        <v>1248</v>
      </c>
      <c r="B881" t="s">
        <v>393</v>
      </c>
      <c r="C881" t="s">
        <v>45</v>
      </c>
      <c r="D881" t="s">
        <v>16</v>
      </c>
      <c r="E881" t="s">
        <v>27</v>
      </c>
      <c r="F881" t="s">
        <v>13</v>
      </c>
      <c r="G881">
        <v>8</v>
      </c>
      <c r="H881">
        <v>1378</v>
      </c>
      <c r="I881" t="str">
        <f>VLOOKUP(D881,Product_Master!A:D,2,FALSE)</f>
        <v>Printer</v>
      </c>
      <c r="J881" t="str">
        <f>VLOOKUP(D881,Product_Master!A:D,3,FALSE)</f>
        <v>Electronics</v>
      </c>
      <c r="K881">
        <f>VLOOKUP(D881,Product_Master!A:D,4,FALSE)</f>
        <v>1100</v>
      </c>
      <c r="L881" t="str">
        <f>VLOOKUP(C881,Customer_Master!A:C,2,FALSE)</f>
        <v>TCS</v>
      </c>
      <c r="M881" t="str">
        <f>VLOOKUP(C881,Customer_Master!A:C,3,FALSE)</f>
        <v>Corporate</v>
      </c>
      <c r="N881">
        <f>Table1[[#This Row],[Quantity]]*Table1[[#This Row],[Unit_Price]]</f>
        <v>11024</v>
      </c>
      <c r="O881">
        <f>(Table1[[#This Row],[Unit_Price]]-Table1[[#This Row],[Cost_Price]])*Table1[[#This Row],[Quantity]]</f>
        <v>2224</v>
      </c>
      <c r="P881">
        <f t="shared" si="13"/>
        <v>11024</v>
      </c>
      <c r="Q881" t="str">
        <f>TEXT(Table1[[#This Row],[Order_Date]],"mmm-yyyy")</f>
        <v>Jan-2024</v>
      </c>
    </row>
    <row r="882" spans="1:17" x14ac:dyDescent="0.35">
      <c r="A882" t="s">
        <v>1249</v>
      </c>
      <c r="B882" t="s">
        <v>195</v>
      </c>
      <c r="C882" t="s">
        <v>45</v>
      </c>
      <c r="D882" t="s">
        <v>26</v>
      </c>
      <c r="E882" t="s">
        <v>33</v>
      </c>
      <c r="F882" t="s">
        <v>13</v>
      </c>
      <c r="G882">
        <v>1</v>
      </c>
      <c r="H882">
        <v>1148</v>
      </c>
      <c r="I882" t="str">
        <f>VLOOKUP(D882,Product_Master!A:D,2,FALSE)</f>
        <v>Laptop</v>
      </c>
      <c r="J882" t="str">
        <f>VLOOKUP(D882,Product_Master!A:D,3,FALSE)</f>
        <v>Electronics</v>
      </c>
      <c r="K882">
        <f>VLOOKUP(D882,Product_Master!A:D,4,FALSE)</f>
        <v>900</v>
      </c>
      <c r="L882" t="str">
        <f>VLOOKUP(C882,Customer_Master!A:C,2,FALSE)</f>
        <v>TCS</v>
      </c>
      <c r="M882" t="str">
        <f>VLOOKUP(C882,Customer_Master!A:C,3,FALSE)</f>
        <v>Corporate</v>
      </c>
      <c r="N882">
        <f>Table1[[#This Row],[Quantity]]*Table1[[#This Row],[Unit_Price]]</f>
        <v>1148</v>
      </c>
      <c r="O882">
        <f>(Table1[[#This Row],[Unit_Price]]-Table1[[#This Row],[Cost_Price]])*Table1[[#This Row],[Quantity]]</f>
        <v>248</v>
      </c>
      <c r="P882">
        <f t="shared" si="13"/>
        <v>1148</v>
      </c>
      <c r="Q882" t="str">
        <f>TEXT(Table1[[#This Row],[Order_Date]],"mmm-yyyy")</f>
        <v>Jun-2024</v>
      </c>
    </row>
    <row r="883" spans="1:17" x14ac:dyDescent="0.35">
      <c r="A883" t="s">
        <v>1250</v>
      </c>
      <c r="B883" t="s">
        <v>1242</v>
      </c>
      <c r="C883" t="s">
        <v>45</v>
      </c>
      <c r="D883" t="s">
        <v>37</v>
      </c>
      <c r="E883" t="s">
        <v>12</v>
      </c>
      <c r="F883" t="s">
        <v>34</v>
      </c>
      <c r="G883">
        <v>10</v>
      </c>
      <c r="H883">
        <v>1032</v>
      </c>
      <c r="I883" t="str">
        <f>VLOOKUP(D883,Product_Master!A:D,2,FALSE)</f>
        <v>Mobile</v>
      </c>
      <c r="J883" t="str">
        <f>VLOOKUP(D883,Product_Master!A:D,3,FALSE)</f>
        <v>Electronics</v>
      </c>
      <c r="K883">
        <f>VLOOKUP(D883,Product_Master!A:D,4,FALSE)</f>
        <v>600</v>
      </c>
      <c r="L883" t="str">
        <f>VLOOKUP(C883,Customer_Master!A:C,2,FALSE)</f>
        <v>TCS</v>
      </c>
      <c r="M883" t="str">
        <f>VLOOKUP(C883,Customer_Master!A:C,3,FALSE)</f>
        <v>Corporate</v>
      </c>
      <c r="N883">
        <f>Table1[[#This Row],[Quantity]]*Table1[[#This Row],[Unit_Price]]</f>
        <v>10320</v>
      </c>
      <c r="O883">
        <f>(Table1[[#This Row],[Unit_Price]]-Table1[[#This Row],[Cost_Price]])*Table1[[#This Row],[Quantity]]</f>
        <v>4320</v>
      </c>
      <c r="P883">
        <f t="shared" si="13"/>
        <v>10320</v>
      </c>
      <c r="Q883" t="str">
        <f>TEXT(Table1[[#This Row],[Order_Date]],"mmm-yyyy")</f>
        <v>Jul-2024</v>
      </c>
    </row>
    <row r="884" spans="1:17" x14ac:dyDescent="0.35">
      <c r="A884" t="s">
        <v>1251</v>
      </c>
      <c r="B884" t="s">
        <v>257</v>
      </c>
      <c r="C884" t="s">
        <v>10</v>
      </c>
      <c r="D884" t="s">
        <v>26</v>
      </c>
      <c r="E884" t="s">
        <v>17</v>
      </c>
      <c r="F884" t="s">
        <v>34</v>
      </c>
      <c r="G884">
        <v>3</v>
      </c>
      <c r="H884">
        <v>1198</v>
      </c>
      <c r="I884" t="str">
        <f>VLOOKUP(D884,Product_Master!A:D,2,FALSE)</f>
        <v>Laptop</v>
      </c>
      <c r="J884" t="str">
        <f>VLOOKUP(D884,Product_Master!A:D,3,FALSE)</f>
        <v>Electronics</v>
      </c>
      <c r="K884">
        <f>VLOOKUP(D884,Product_Master!A:D,4,FALSE)</f>
        <v>900</v>
      </c>
      <c r="L884" t="str">
        <f>VLOOKUP(C884,Customer_Master!A:C,2,FALSE)</f>
        <v>Suresh</v>
      </c>
      <c r="M884" t="str">
        <f>VLOOKUP(C884,Customer_Master!A:C,3,FALSE)</f>
        <v>Consumer</v>
      </c>
      <c r="N884">
        <f>Table1[[#This Row],[Quantity]]*Table1[[#This Row],[Unit_Price]]</f>
        <v>3594</v>
      </c>
      <c r="O884">
        <f>(Table1[[#This Row],[Unit_Price]]-Table1[[#This Row],[Cost_Price]])*Table1[[#This Row],[Quantity]]</f>
        <v>894</v>
      </c>
      <c r="P884">
        <f t="shared" si="13"/>
        <v>3594</v>
      </c>
      <c r="Q884" t="str">
        <f>TEXT(Table1[[#This Row],[Order_Date]],"mmm-yyyy")</f>
        <v>May-2024</v>
      </c>
    </row>
    <row r="885" spans="1:17" x14ac:dyDescent="0.35">
      <c r="A885" t="s">
        <v>1252</v>
      </c>
      <c r="B885" t="s">
        <v>233</v>
      </c>
      <c r="C885" t="s">
        <v>45</v>
      </c>
      <c r="D885" t="s">
        <v>26</v>
      </c>
      <c r="E885" t="s">
        <v>33</v>
      </c>
      <c r="F885" t="s">
        <v>34</v>
      </c>
      <c r="G885">
        <v>7</v>
      </c>
      <c r="H885">
        <v>969</v>
      </c>
      <c r="I885" t="str">
        <f>VLOOKUP(D885,Product_Master!A:D,2,FALSE)</f>
        <v>Laptop</v>
      </c>
      <c r="J885" t="str">
        <f>VLOOKUP(D885,Product_Master!A:D,3,FALSE)</f>
        <v>Electronics</v>
      </c>
      <c r="K885">
        <f>VLOOKUP(D885,Product_Master!A:D,4,FALSE)</f>
        <v>900</v>
      </c>
      <c r="L885" t="str">
        <f>VLOOKUP(C885,Customer_Master!A:C,2,FALSE)</f>
        <v>TCS</v>
      </c>
      <c r="M885" t="str">
        <f>VLOOKUP(C885,Customer_Master!A:C,3,FALSE)</f>
        <v>Corporate</v>
      </c>
      <c r="N885">
        <f>Table1[[#This Row],[Quantity]]*Table1[[#This Row],[Unit_Price]]</f>
        <v>6783</v>
      </c>
      <c r="O885">
        <f>(Table1[[#This Row],[Unit_Price]]-Table1[[#This Row],[Cost_Price]])*Table1[[#This Row],[Quantity]]</f>
        <v>483</v>
      </c>
      <c r="P885">
        <f t="shared" si="13"/>
        <v>6783</v>
      </c>
      <c r="Q885" t="str">
        <f>TEXT(Table1[[#This Row],[Order_Date]],"mmm-yyyy")</f>
        <v>Aug-2024</v>
      </c>
    </row>
    <row r="886" spans="1:17" x14ac:dyDescent="0.35">
      <c r="A886" t="s">
        <v>1253</v>
      </c>
      <c r="B886" t="s">
        <v>395</v>
      </c>
      <c r="C886" t="s">
        <v>10</v>
      </c>
      <c r="D886" t="s">
        <v>11</v>
      </c>
      <c r="E886" t="s">
        <v>33</v>
      </c>
      <c r="F886" t="s">
        <v>18</v>
      </c>
      <c r="G886">
        <v>6</v>
      </c>
      <c r="H886">
        <v>1441</v>
      </c>
      <c r="I886" t="str">
        <f>VLOOKUP(D886,Product_Master!A:D,2,FALSE)</f>
        <v>Chair</v>
      </c>
      <c r="J886" t="str">
        <f>VLOOKUP(D886,Product_Master!A:D,3,FALSE)</f>
        <v>Furniture</v>
      </c>
      <c r="K886">
        <f>VLOOKUP(D886,Product_Master!A:D,4,FALSE)</f>
        <v>150</v>
      </c>
      <c r="L886" t="str">
        <f>VLOOKUP(C886,Customer_Master!A:C,2,FALSE)</f>
        <v>Suresh</v>
      </c>
      <c r="M886" t="str">
        <f>VLOOKUP(C886,Customer_Master!A:C,3,FALSE)</f>
        <v>Consumer</v>
      </c>
      <c r="N886">
        <f>Table1[[#This Row],[Quantity]]*Table1[[#This Row],[Unit_Price]]</f>
        <v>8646</v>
      </c>
      <c r="O886">
        <f>(Table1[[#This Row],[Unit_Price]]-Table1[[#This Row],[Cost_Price]])*Table1[[#This Row],[Quantity]]</f>
        <v>7746</v>
      </c>
      <c r="P886">
        <f t="shared" si="13"/>
        <v>8646</v>
      </c>
      <c r="Q886" t="str">
        <f>TEXT(Table1[[#This Row],[Order_Date]],"mmm-yyyy")</f>
        <v>Jan-2024</v>
      </c>
    </row>
    <row r="887" spans="1:17" x14ac:dyDescent="0.35">
      <c r="A887" t="s">
        <v>1254</v>
      </c>
      <c r="B887" t="s">
        <v>395</v>
      </c>
      <c r="C887" t="s">
        <v>30</v>
      </c>
      <c r="D887" t="s">
        <v>16</v>
      </c>
      <c r="E887" t="s">
        <v>12</v>
      </c>
      <c r="F887" t="s">
        <v>13</v>
      </c>
      <c r="G887">
        <v>6</v>
      </c>
      <c r="H887">
        <v>1536</v>
      </c>
      <c r="I887" t="str">
        <f>VLOOKUP(D887,Product_Master!A:D,2,FALSE)</f>
        <v>Printer</v>
      </c>
      <c r="J887" t="str">
        <f>VLOOKUP(D887,Product_Master!A:D,3,FALSE)</f>
        <v>Electronics</v>
      </c>
      <c r="K887">
        <f>VLOOKUP(D887,Product_Master!A:D,4,FALSE)</f>
        <v>1100</v>
      </c>
      <c r="L887" t="str">
        <f>VLOOKUP(C887,Customer_Master!A:C,2,FALSE)</f>
        <v>Infosys</v>
      </c>
      <c r="M887" t="str">
        <f>VLOOKUP(C887,Customer_Master!A:C,3,FALSE)</f>
        <v>Corporate</v>
      </c>
      <c r="N887">
        <f>Table1[[#This Row],[Quantity]]*Table1[[#This Row],[Unit_Price]]</f>
        <v>9216</v>
      </c>
      <c r="O887">
        <f>(Table1[[#This Row],[Unit_Price]]-Table1[[#This Row],[Cost_Price]])*Table1[[#This Row],[Quantity]]</f>
        <v>2616</v>
      </c>
      <c r="P887">
        <f t="shared" si="13"/>
        <v>9216</v>
      </c>
      <c r="Q887" t="str">
        <f>TEXT(Table1[[#This Row],[Order_Date]],"mmm-yyyy")</f>
        <v>Jan-2024</v>
      </c>
    </row>
    <row r="888" spans="1:17" x14ac:dyDescent="0.35">
      <c r="A888" t="s">
        <v>1255</v>
      </c>
      <c r="B888" t="s">
        <v>963</v>
      </c>
      <c r="C888" t="s">
        <v>30</v>
      </c>
      <c r="D888" t="s">
        <v>26</v>
      </c>
      <c r="E888" t="s">
        <v>17</v>
      </c>
      <c r="F888" t="s">
        <v>23</v>
      </c>
      <c r="G888">
        <v>7</v>
      </c>
      <c r="H888">
        <v>1749</v>
      </c>
      <c r="I888" t="str">
        <f>VLOOKUP(D888,Product_Master!A:D,2,FALSE)</f>
        <v>Laptop</v>
      </c>
      <c r="J888" t="str">
        <f>VLOOKUP(D888,Product_Master!A:D,3,FALSE)</f>
        <v>Electronics</v>
      </c>
      <c r="K888">
        <f>VLOOKUP(D888,Product_Master!A:D,4,FALSE)</f>
        <v>900</v>
      </c>
      <c r="L888" t="str">
        <f>VLOOKUP(C888,Customer_Master!A:C,2,FALSE)</f>
        <v>Infosys</v>
      </c>
      <c r="M888" t="str">
        <f>VLOOKUP(C888,Customer_Master!A:C,3,FALSE)</f>
        <v>Corporate</v>
      </c>
      <c r="N888">
        <f>Table1[[#This Row],[Quantity]]*Table1[[#This Row],[Unit_Price]]</f>
        <v>12243</v>
      </c>
      <c r="O888">
        <f>(Table1[[#This Row],[Unit_Price]]-Table1[[#This Row],[Cost_Price]])*Table1[[#This Row],[Quantity]]</f>
        <v>5943</v>
      </c>
      <c r="P888">
        <f t="shared" si="13"/>
        <v>12243</v>
      </c>
      <c r="Q888" t="str">
        <f>TEXT(Table1[[#This Row],[Order_Date]],"mmm-yyyy")</f>
        <v>Jul-2024</v>
      </c>
    </row>
    <row r="889" spans="1:17" x14ac:dyDescent="0.35">
      <c r="A889" t="s">
        <v>1256</v>
      </c>
      <c r="B889" t="s">
        <v>147</v>
      </c>
      <c r="C889" t="s">
        <v>21</v>
      </c>
      <c r="D889" t="s">
        <v>26</v>
      </c>
      <c r="E889" t="s">
        <v>27</v>
      </c>
      <c r="F889" t="s">
        <v>23</v>
      </c>
      <c r="G889">
        <v>3</v>
      </c>
      <c r="H889">
        <v>1532</v>
      </c>
      <c r="I889" t="str">
        <f>VLOOKUP(D889,Product_Master!A:D,2,FALSE)</f>
        <v>Laptop</v>
      </c>
      <c r="J889" t="str">
        <f>VLOOKUP(D889,Product_Master!A:D,3,FALSE)</f>
        <v>Electronics</v>
      </c>
      <c r="K889">
        <f>VLOOKUP(D889,Product_Master!A:D,4,FALSE)</f>
        <v>900</v>
      </c>
      <c r="L889" t="str">
        <f>VLOOKUP(C889,Customer_Master!A:C,2,FALSE)</f>
        <v>Reliance</v>
      </c>
      <c r="M889" t="str">
        <f>VLOOKUP(C889,Customer_Master!A:C,3,FALSE)</f>
        <v>Corporate</v>
      </c>
      <c r="N889">
        <f>Table1[[#This Row],[Quantity]]*Table1[[#This Row],[Unit_Price]]</f>
        <v>4596</v>
      </c>
      <c r="O889">
        <f>(Table1[[#This Row],[Unit_Price]]-Table1[[#This Row],[Cost_Price]])*Table1[[#This Row],[Quantity]]</f>
        <v>1896</v>
      </c>
      <c r="P889">
        <f t="shared" si="13"/>
        <v>4596</v>
      </c>
      <c r="Q889" t="str">
        <f>TEXT(Table1[[#This Row],[Order_Date]],"mmm-yyyy")</f>
        <v>May-2024</v>
      </c>
    </row>
    <row r="890" spans="1:17" x14ac:dyDescent="0.35">
      <c r="A890" t="s">
        <v>1257</v>
      </c>
      <c r="B890" t="s">
        <v>1258</v>
      </c>
      <c r="C890" t="s">
        <v>21</v>
      </c>
      <c r="D890" t="s">
        <v>11</v>
      </c>
      <c r="E890" t="s">
        <v>17</v>
      </c>
      <c r="F890" t="s">
        <v>13</v>
      </c>
      <c r="G890">
        <v>2</v>
      </c>
      <c r="H890">
        <v>1453</v>
      </c>
      <c r="I890" t="str">
        <f>VLOOKUP(D890,Product_Master!A:D,2,FALSE)</f>
        <v>Chair</v>
      </c>
      <c r="J890" t="str">
        <f>VLOOKUP(D890,Product_Master!A:D,3,FALSE)</f>
        <v>Furniture</v>
      </c>
      <c r="K890">
        <f>VLOOKUP(D890,Product_Master!A:D,4,FALSE)</f>
        <v>150</v>
      </c>
      <c r="L890" t="str">
        <f>VLOOKUP(C890,Customer_Master!A:C,2,FALSE)</f>
        <v>Reliance</v>
      </c>
      <c r="M890" t="str">
        <f>VLOOKUP(C890,Customer_Master!A:C,3,FALSE)</f>
        <v>Corporate</v>
      </c>
      <c r="N890">
        <f>Table1[[#This Row],[Quantity]]*Table1[[#This Row],[Unit_Price]]</f>
        <v>2906</v>
      </c>
      <c r="O890">
        <f>(Table1[[#This Row],[Unit_Price]]-Table1[[#This Row],[Cost_Price]])*Table1[[#This Row],[Quantity]]</f>
        <v>2606</v>
      </c>
      <c r="P890">
        <f t="shared" si="13"/>
        <v>2906</v>
      </c>
      <c r="Q890" t="str">
        <f>TEXT(Table1[[#This Row],[Order_Date]],"mmm-yyyy")</f>
        <v>Sep-2024</v>
      </c>
    </row>
    <row r="891" spans="1:17" x14ac:dyDescent="0.35">
      <c r="A891" t="s">
        <v>1259</v>
      </c>
      <c r="B891" t="s">
        <v>25</v>
      </c>
      <c r="C891" t="s">
        <v>30</v>
      </c>
      <c r="D891" t="s">
        <v>26</v>
      </c>
      <c r="E891" t="s">
        <v>17</v>
      </c>
      <c r="F891" t="s">
        <v>13</v>
      </c>
      <c r="G891">
        <v>2</v>
      </c>
      <c r="H891">
        <v>1131</v>
      </c>
      <c r="I891" t="str">
        <f>VLOOKUP(D891,Product_Master!A:D,2,FALSE)</f>
        <v>Laptop</v>
      </c>
      <c r="J891" t="str">
        <f>VLOOKUP(D891,Product_Master!A:D,3,FALSE)</f>
        <v>Electronics</v>
      </c>
      <c r="K891">
        <f>VLOOKUP(D891,Product_Master!A:D,4,FALSE)</f>
        <v>900</v>
      </c>
      <c r="L891" t="str">
        <f>VLOOKUP(C891,Customer_Master!A:C,2,FALSE)</f>
        <v>Infosys</v>
      </c>
      <c r="M891" t="str">
        <f>VLOOKUP(C891,Customer_Master!A:C,3,FALSE)</f>
        <v>Corporate</v>
      </c>
      <c r="N891">
        <f>Table1[[#This Row],[Quantity]]*Table1[[#This Row],[Unit_Price]]</f>
        <v>2262</v>
      </c>
      <c r="O891">
        <f>(Table1[[#This Row],[Unit_Price]]-Table1[[#This Row],[Cost_Price]])*Table1[[#This Row],[Quantity]]</f>
        <v>462</v>
      </c>
      <c r="P891">
        <f t="shared" si="13"/>
        <v>2262</v>
      </c>
      <c r="Q891" t="str">
        <f>TEXT(Table1[[#This Row],[Order_Date]],"mmm-yyyy")</f>
        <v>Oct-2024</v>
      </c>
    </row>
    <row r="892" spans="1:17" x14ac:dyDescent="0.35">
      <c r="A892" t="s">
        <v>1260</v>
      </c>
      <c r="B892" t="s">
        <v>1081</v>
      </c>
      <c r="C892" t="s">
        <v>10</v>
      </c>
      <c r="D892" t="s">
        <v>22</v>
      </c>
      <c r="E892" t="s">
        <v>12</v>
      </c>
      <c r="F892" t="s">
        <v>18</v>
      </c>
      <c r="G892">
        <v>3</v>
      </c>
      <c r="H892">
        <v>1241</v>
      </c>
      <c r="I892" t="str">
        <f>VLOOKUP(D892,Product_Master!A:D,2,FALSE)</f>
        <v>Desk</v>
      </c>
      <c r="J892" t="str">
        <f>VLOOKUP(D892,Product_Master!A:D,3,FALSE)</f>
        <v>Furniture</v>
      </c>
      <c r="K892">
        <f>VLOOKUP(D892,Product_Master!A:D,4,FALSE)</f>
        <v>300</v>
      </c>
      <c r="L892" t="str">
        <f>VLOOKUP(C892,Customer_Master!A:C,2,FALSE)</f>
        <v>Suresh</v>
      </c>
      <c r="M892" t="str">
        <f>VLOOKUP(C892,Customer_Master!A:C,3,FALSE)</f>
        <v>Consumer</v>
      </c>
      <c r="N892">
        <f>Table1[[#This Row],[Quantity]]*Table1[[#This Row],[Unit_Price]]</f>
        <v>3723</v>
      </c>
      <c r="O892">
        <f>(Table1[[#This Row],[Unit_Price]]-Table1[[#This Row],[Cost_Price]])*Table1[[#This Row],[Quantity]]</f>
        <v>2823</v>
      </c>
      <c r="P892">
        <f t="shared" si="13"/>
        <v>3723</v>
      </c>
      <c r="Q892" t="str">
        <f>TEXT(Table1[[#This Row],[Order_Date]],"mmm-yyyy")</f>
        <v>Sep-2024</v>
      </c>
    </row>
    <row r="893" spans="1:17" x14ac:dyDescent="0.35">
      <c r="A893" t="s">
        <v>1261</v>
      </c>
      <c r="B893" t="s">
        <v>1262</v>
      </c>
      <c r="C893" t="s">
        <v>21</v>
      </c>
      <c r="D893" t="s">
        <v>26</v>
      </c>
      <c r="E893" t="s">
        <v>12</v>
      </c>
      <c r="F893" t="s">
        <v>23</v>
      </c>
      <c r="G893">
        <v>9</v>
      </c>
      <c r="H893">
        <v>1967</v>
      </c>
      <c r="I893" t="str">
        <f>VLOOKUP(D893,Product_Master!A:D,2,FALSE)</f>
        <v>Laptop</v>
      </c>
      <c r="J893" t="str">
        <f>VLOOKUP(D893,Product_Master!A:D,3,FALSE)</f>
        <v>Electronics</v>
      </c>
      <c r="K893">
        <f>VLOOKUP(D893,Product_Master!A:D,4,FALSE)</f>
        <v>900</v>
      </c>
      <c r="L893" t="str">
        <f>VLOOKUP(C893,Customer_Master!A:C,2,FALSE)</f>
        <v>Reliance</v>
      </c>
      <c r="M893" t="str">
        <f>VLOOKUP(C893,Customer_Master!A:C,3,FALSE)</f>
        <v>Corporate</v>
      </c>
      <c r="N893">
        <f>Table1[[#This Row],[Quantity]]*Table1[[#This Row],[Unit_Price]]</f>
        <v>17703</v>
      </c>
      <c r="O893">
        <f>(Table1[[#This Row],[Unit_Price]]-Table1[[#This Row],[Cost_Price]])*Table1[[#This Row],[Quantity]]</f>
        <v>9603</v>
      </c>
      <c r="P893">
        <f t="shared" si="13"/>
        <v>17703</v>
      </c>
      <c r="Q893" t="str">
        <f>TEXT(Table1[[#This Row],[Order_Date]],"mmm-yyyy")</f>
        <v>Feb-2024</v>
      </c>
    </row>
    <row r="894" spans="1:17" x14ac:dyDescent="0.35">
      <c r="A894" t="s">
        <v>1263</v>
      </c>
      <c r="B894" t="s">
        <v>704</v>
      </c>
      <c r="C894" t="s">
        <v>45</v>
      </c>
      <c r="D894" t="s">
        <v>26</v>
      </c>
      <c r="E894" t="s">
        <v>12</v>
      </c>
      <c r="F894" t="s">
        <v>13</v>
      </c>
      <c r="G894">
        <v>5</v>
      </c>
      <c r="H894">
        <v>975</v>
      </c>
      <c r="I894" t="str">
        <f>VLOOKUP(D894,Product_Master!A:D,2,FALSE)</f>
        <v>Laptop</v>
      </c>
      <c r="J894" t="str">
        <f>VLOOKUP(D894,Product_Master!A:D,3,FALSE)</f>
        <v>Electronics</v>
      </c>
      <c r="K894">
        <f>VLOOKUP(D894,Product_Master!A:D,4,FALSE)</f>
        <v>900</v>
      </c>
      <c r="L894" t="str">
        <f>VLOOKUP(C894,Customer_Master!A:C,2,FALSE)</f>
        <v>TCS</v>
      </c>
      <c r="M894" t="str">
        <f>VLOOKUP(C894,Customer_Master!A:C,3,FALSE)</f>
        <v>Corporate</v>
      </c>
      <c r="N894">
        <f>Table1[[#This Row],[Quantity]]*Table1[[#This Row],[Unit_Price]]</f>
        <v>4875</v>
      </c>
      <c r="O894">
        <f>(Table1[[#This Row],[Unit_Price]]-Table1[[#This Row],[Cost_Price]])*Table1[[#This Row],[Quantity]]</f>
        <v>375</v>
      </c>
      <c r="P894">
        <f t="shared" si="13"/>
        <v>4875</v>
      </c>
      <c r="Q894" t="str">
        <f>TEXT(Table1[[#This Row],[Order_Date]],"mmm-yyyy")</f>
        <v>Aug-2024</v>
      </c>
    </row>
    <row r="895" spans="1:17" x14ac:dyDescent="0.35">
      <c r="A895" t="s">
        <v>1264</v>
      </c>
      <c r="B895" t="s">
        <v>267</v>
      </c>
      <c r="C895" t="s">
        <v>10</v>
      </c>
      <c r="D895" t="s">
        <v>11</v>
      </c>
      <c r="E895" t="s">
        <v>27</v>
      </c>
      <c r="F895" t="s">
        <v>34</v>
      </c>
      <c r="G895">
        <v>2</v>
      </c>
      <c r="H895">
        <v>811</v>
      </c>
      <c r="I895" t="str">
        <f>VLOOKUP(D895,Product_Master!A:D,2,FALSE)</f>
        <v>Chair</v>
      </c>
      <c r="J895" t="str">
        <f>VLOOKUP(D895,Product_Master!A:D,3,FALSE)</f>
        <v>Furniture</v>
      </c>
      <c r="K895">
        <f>VLOOKUP(D895,Product_Master!A:D,4,FALSE)</f>
        <v>150</v>
      </c>
      <c r="L895" t="str">
        <f>VLOOKUP(C895,Customer_Master!A:C,2,FALSE)</f>
        <v>Suresh</v>
      </c>
      <c r="M895" t="str">
        <f>VLOOKUP(C895,Customer_Master!A:C,3,FALSE)</f>
        <v>Consumer</v>
      </c>
      <c r="N895">
        <f>Table1[[#This Row],[Quantity]]*Table1[[#This Row],[Unit_Price]]</f>
        <v>1622</v>
      </c>
      <c r="O895">
        <f>(Table1[[#This Row],[Unit_Price]]-Table1[[#This Row],[Cost_Price]])*Table1[[#This Row],[Quantity]]</f>
        <v>1322</v>
      </c>
      <c r="P895">
        <f t="shared" si="13"/>
        <v>1622</v>
      </c>
      <c r="Q895" t="str">
        <f>TEXT(Table1[[#This Row],[Order_Date]],"mmm-yyyy")</f>
        <v>Mar-2024</v>
      </c>
    </row>
    <row r="896" spans="1:17" x14ac:dyDescent="0.35">
      <c r="A896" t="s">
        <v>1265</v>
      </c>
      <c r="B896" t="s">
        <v>323</v>
      </c>
      <c r="C896" t="s">
        <v>10</v>
      </c>
      <c r="D896" t="s">
        <v>26</v>
      </c>
      <c r="E896" t="s">
        <v>12</v>
      </c>
      <c r="F896" t="s">
        <v>18</v>
      </c>
      <c r="G896">
        <v>8</v>
      </c>
      <c r="H896">
        <v>1058</v>
      </c>
      <c r="I896" t="str">
        <f>VLOOKUP(D896,Product_Master!A:D,2,FALSE)</f>
        <v>Laptop</v>
      </c>
      <c r="J896" t="str">
        <f>VLOOKUP(D896,Product_Master!A:D,3,FALSE)</f>
        <v>Electronics</v>
      </c>
      <c r="K896">
        <f>VLOOKUP(D896,Product_Master!A:D,4,FALSE)</f>
        <v>900</v>
      </c>
      <c r="L896" t="str">
        <f>VLOOKUP(C896,Customer_Master!A:C,2,FALSE)</f>
        <v>Suresh</v>
      </c>
      <c r="M896" t="str">
        <f>VLOOKUP(C896,Customer_Master!A:C,3,FALSE)</f>
        <v>Consumer</v>
      </c>
      <c r="N896">
        <f>Table1[[#This Row],[Quantity]]*Table1[[#This Row],[Unit_Price]]</f>
        <v>8464</v>
      </c>
      <c r="O896">
        <f>(Table1[[#This Row],[Unit_Price]]-Table1[[#This Row],[Cost_Price]])*Table1[[#This Row],[Quantity]]</f>
        <v>1264</v>
      </c>
      <c r="P896">
        <f t="shared" si="13"/>
        <v>8464</v>
      </c>
      <c r="Q896" t="str">
        <f>TEXT(Table1[[#This Row],[Order_Date]],"mmm-yyyy")</f>
        <v>Jun-2024</v>
      </c>
    </row>
    <row r="897" spans="1:17" x14ac:dyDescent="0.35">
      <c r="A897" t="s">
        <v>1266</v>
      </c>
      <c r="B897" t="s">
        <v>792</v>
      </c>
      <c r="C897" t="s">
        <v>42</v>
      </c>
      <c r="D897" t="s">
        <v>16</v>
      </c>
      <c r="E897" t="s">
        <v>33</v>
      </c>
      <c r="F897" t="s">
        <v>23</v>
      </c>
      <c r="G897">
        <v>4</v>
      </c>
      <c r="H897">
        <v>1436</v>
      </c>
      <c r="I897" t="str">
        <f>VLOOKUP(D897,Product_Master!A:D,2,FALSE)</f>
        <v>Printer</v>
      </c>
      <c r="J897" t="str">
        <f>VLOOKUP(D897,Product_Master!A:D,3,FALSE)</f>
        <v>Electronics</v>
      </c>
      <c r="K897">
        <f>VLOOKUP(D897,Product_Master!A:D,4,FALSE)</f>
        <v>1100</v>
      </c>
      <c r="L897" t="str">
        <f>VLOOKUP(C897,Customer_Master!A:C,2,FALSE)</f>
        <v>Ramesh</v>
      </c>
      <c r="M897" t="str">
        <f>VLOOKUP(C897,Customer_Master!A:C,3,FALSE)</f>
        <v>Consumer</v>
      </c>
      <c r="N897">
        <f>Table1[[#This Row],[Quantity]]*Table1[[#This Row],[Unit_Price]]</f>
        <v>5744</v>
      </c>
      <c r="O897">
        <f>(Table1[[#This Row],[Unit_Price]]-Table1[[#This Row],[Cost_Price]])*Table1[[#This Row],[Quantity]]</f>
        <v>1344</v>
      </c>
      <c r="P897">
        <f t="shared" si="13"/>
        <v>5744</v>
      </c>
      <c r="Q897" t="str">
        <f>TEXT(Table1[[#This Row],[Order_Date]],"mmm-yyyy")</f>
        <v>Jan-2024</v>
      </c>
    </row>
    <row r="898" spans="1:17" x14ac:dyDescent="0.35">
      <c r="A898" t="s">
        <v>1267</v>
      </c>
      <c r="B898" t="s">
        <v>141</v>
      </c>
      <c r="C898" t="s">
        <v>21</v>
      </c>
      <c r="D898" t="s">
        <v>26</v>
      </c>
      <c r="E898" t="s">
        <v>27</v>
      </c>
      <c r="F898" t="s">
        <v>34</v>
      </c>
      <c r="G898">
        <v>7</v>
      </c>
      <c r="H898">
        <v>1726</v>
      </c>
      <c r="I898" t="str">
        <f>VLOOKUP(D898,Product_Master!A:D,2,FALSE)</f>
        <v>Laptop</v>
      </c>
      <c r="J898" t="str">
        <f>VLOOKUP(D898,Product_Master!A:D,3,FALSE)</f>
        <v>Electronics</v>
      </c>
      <c r="K898">
        <f>VLOOKUP(D898,Product_Master!A:D,4,FALSE)</f>
        <v>900</v>
      </c>
      <c r="L898" t="str">
        <f>VLOOKUP(C898,Customer_Master!A:C,2,FALSE)</f>
        <v>Reliance</v>
      </c>
      <c r="M898" t="str">
        <f>VLOOKUP(C898,Customer_Master!A:C,3,FALSE)</f>
        <v>Corporate</v>
      </c>
      <c r="N898">
        <f>Table1[[#This Row],[Quantity]]*Table1[[#This Row],[Unit_Price]]</f>
        <v>12082</v>
      </c>
      <c r="O898">
        <f>(Table1[[#This Row],[Unit_Price]]-Table1[[#This Row],[Cost_Price]])*Table1[[#This Row],[Quantity]]</f>
        <v>5782</v>
      </c>
      <c r="P898">
        <f t="shared" ref="P898:P961" si="14">VALUE(N898)</f>
        <v>12082</v>
      </c>
      <c r="Q898" t="str">
        <f>TEXT(Table1[[#This Row],[Order_Date]],"mmm-yyyy")</f>
        <v>Jan-2024</v>
      </c>
    </row>
    <row r="899" spans="1:17" x14ac:dyDescent="0.35">
      <c r="A899" t="s">
        <v>1268</v>
      </c>
      <c r="B899" t="s">
        <v>445</v>
      </c>
      <c r="C899" t="s">
        <v>42</v>
      </c>
      <c r="D899" t="s">
        <v>26</v>
      </c>
      <c r="E899" t="s">
        <v>17</v>
      </c>
      <c r="F899" t="s">
        <v>13</v>
      </c>
      <c r="G899">
        <v>4</v>
      </c>
      <c r="H899">
        <v>1628</v>
      </c>
      <c r="I899" t="str">
        <f>VLOOKUP(D899,Product_Master!A:D,2,FALSE)</f>
        <v>Laptop</v>
      </c>
      <c r="J899" t="str">
        <f>VLOOKUP(D899,Product_Master!A:D,3,FALSE)</f>
        <v>Electronics</v>
      </c>
      <c r="K899">
        <f>VLOOKUP(D899,Product_Master!A:D,4,FALSE)</f>
        <v>900</v>
      </c>
      <c r="L899" t="str">
        <f>VLOOKUP(C899,Customer_Master!A:C,2,FALSE)</f>
        <v>Ramesh</v>
      </c>
      <c r="M899" t="str">
        <f>VLOOKUP(C899,Customer_Master!A:C,3,FALSE)</f>
        <v>Consumer</v>
      </c>
      <c r="N899">
        <f>Table1[[#This Row],[Quantity]]*Table1[[#This Row],[Unit_Price]]</f>
        <v>6512</v>
      </c>
      <c r="O899">
        <f>(Table1[[#This Row],[Unit_Price]]-Table1[[#This Row],[Cost_Price]])*Table1[[#This Row],[Quantity]]</f>
        <v>2912</v>
      </c>
      <c r="P899">
        <f t="shared" si="14"/>
        <v>6512</v>
      </c>
      <c r="Q899" t="str">
        <f>TEXT(Table1[[#This Row],[Order_Date]],"mmm-yyyy")</f>
        <v>Dec-2024</v>
      </c>
    </row>
    <row r="900" spans="1:17" x14ac:dyDescent="0.35">
      <c r="A900" t="s">
        <v>1269</v>
      </c>
      <c r="B900" t="s">
        <v>315</v>
      </c>
      <c r="C900" t="s">
        <v>30</v>
      </c>
      <c r="D900" t="s">
        <v>37</v>
      </c>
      <c r="E900" t="s">
        <v>12</v>
      </c>
      <c r="F900" t="s">
        <v>34</v>
      </c>
      <c r="G900">
        <v>4</v>
      </c>
      <c r="H900">
        <v>1817</v>
      </c>
      <c r="I900" t="str">
        <f>VLOOKUP(D900,Product_Master!A:D,2,FALSE)</f>
        <v>Mobile</v>
      </c>
      <c r="J900" t="str">
        <f>VLOOKUP(D900,Product_Master!A:D,3,FALSE)</f>
        <v>Electronics</v>
      </c>
      <c r="K900">
        <f>VLOOKUP(D900,Product_Master!A:D,4,FALSE)</f>
        <v>600</v>
      </c>
      <c r="L900" t="str">
        <f>VLOOKUP(C900,Customer_Master!A:C,2,FALSE)</f>
        <v>Infosys</v>
      </c>
      <c r="M900" t="str">
        <f>VLOOKUP(C900,Customer_Master!A:C,3,FALSE)</f>
        <v>Corporate</v>
      </c>
      <c r="N900">
        <f>Table1[[#This Row],[Quantity]]*Table1[[#This Row],[Unit_Price]]</f>
        <v>7268</v>
      </c>
      <c r="O900">
        <f>(Table1[[#This Row],[Unit_Price]]-Table1[[#This Row],[Cost_Price]])*Table1[[#This Row],[Quantity]]</f>
        <v>4868</v>
      </c>
      <c r="P900">
        <f t="shared" si="14"/>
        <v>7268</v>
      </c>
      <c r="Q900" t="str">
        <f>TEXT(Table1[[#This Row],[Order_Date]],"mmm-yyyy")</f>
        <v>Jan-2024</v>
      </c>
    </row>
    <row r="901" spans="1:17" x14ac:dyDescent="0.35">
      <c r="A901" t="s">
        <v>1270</v>
      </c>
      <c r="B901" t="s">
        <v>275</v>
      </c>
      <c r="C901" t="s">
        <v>10</v>
      </c>
      <c r="D901" t="s">
        <v>26</v>
      </c>
      <c r="E901" t="s">
        <v>12</v>
      </c>
      <c r="F901" t="s">
        <v>13</v>
      </c>
      <c r="G901">
        <v>8</v>
      </c>
      <c r="H901">
        <v>1728</v>
      </c>
      <c r="I901" t="str">
        <f>VLOOKUP(D901,Product_Master!A:D,2,FALSE)</f>
        <v>Laptop</v>
      </c>
      <c r="J901" t="str">
        <f>VLOOKUP(D901,Product_Master!A:D,3,FALSE)</f>
        <v>Electronics</v>
      </c>
      <c r="K901">
        <f>VLOOKUP(D901,Product_Master!A:D,4,FALSE)</f>
        <v>900</v>
      </c>
      <c r="L901" t="str">
        <f>VLOOKUP(C901,Customer_Master!A:C,2,FALSE)</f>
        <v>Suresh</v>
      </c>
      <c r="M901" t="str">
        <f>VLOOKUP(C901,Customer_Master!A:C,3,FALSE)</f>
        <v>Consumer</v>
      </c>
      <c r="N901">
        <f>Table1[[#This Row],[Quantity]]*Table1[[#This Row],[Unit_Price]]</f>
        <v>13824</v>
      </c>
      <c r="O901">
        <f>(Table1[[#This Row],[Unit_Price]]-Table1[[#This Row],[Cost_Price]])*Table1[[#This Row],[Quantity]]</f>
        <v>6624</v>
      </c>
      <c r="P901">
        <f t="shared" si="14"/>
        <v>13824</v>
      </c>
      <c r="Q901" t="str">
        <f>TEXT(Table1[[#This Row],[Order_Date]],"mmm-yyyy")</f>
        <v>Jul-2024</v>
      </c>
    </row>
    <row r="902" spans="1:17" x14ac:dyDescent="0.35">
      <c r="A902" t="s">
        <v>1271</v>
      </c>
      <c r="B902" t="s">
        <v>600</v>
      </c>
      <c r="C902" t="s">
        <v>30</v>
      </c>
      <c r="D902" t="s">
        <v>11</v>
      </c>
      <c r="E902" t="s">
        <v>27</v>
      </c>
      <c r="F902" t="s">
        <v>13</v>
      </c>
      <c r="G902">
        <v>8</v>
      </c>
      <c r="H902">
        <v>846</v>
      </c>
      <c r="I902" t="str">
        <f>VLOOKUP(D902,Product_Master!A:D,2,FALSE)</f>
        <v>Chair</v>
      </c>
      <c r="J902" t="str">
        <f>VLOOKUP(D902,Product_Master!A:D,3,FALSE)</f>
        <v>Furniture</v>
      </c>
      <c r="K902">
        <f>VLOOKUP(D902,Product_Master!A:D,4,FALSE)</f>
        <v>150</v>
      </c>
      <c r="L902" t="str">
        <f>VLOOKUP(C902,Customer_Master!A:C,2,FALSE)</f>
        <v>Infosys</v>
      </c>
      <c r="M902" t="str">
        <f>VLOOKUP(C902,Customer_Master!A:C,3,FALSE)</f>
        <v>Corporate</v>
      </c>
      <c r="N902">
        <f>Table1[[#This Row],[Quantity]]*Table1[[#This Row],[Unit_Price]]</f>
        <v>6768</v>
      </c>
      <c r="O902">
        <f>(Table1[[#This Row],[Unit_Price]]-Table1[[#This Row],[Cost_Price]])*Table1[[#This Row],[Quantity]]</f>
        <v>5568</v>
      </c>
      <c r="P902">
        <f t="shared" si="14"/>
        <v>6768</v>
      </c>
      <c r="Q902" t="str">
        <f>TEXT(Table1[[#This Row],[Order_Date]],"mmm-yyyy")</f>
        <v>Jan-2024</v>
      </c>
    </row>
    <row r="903" spans="1:17" x14ac:dyDescent="0.35">
      <c r="A903" t="s">
        <v>1272</v>
      </c>
      <c r="B903" t="s">
        <v>783</v>
      </c>
      <c r="C903" t="s">
        <v>30</v>
      </c>
      <c r="D903" t="s">
        <v>26</v>
      </c>
      <c r="E903" t="s">
        <v>27</v>
      </c>
      <c r="F903" t="s">
        <v>23</v>
      </c>
      <c r="G903">
        <v>10</v>
      </c>
      <c r="H903">
        <v>1617</v>
      </c>
      <c r="I903" t="str">
        <f>VLOOKUP(D903,Product_Master!A:D,2,FALSE)</f>
        <v>Laptop</v>
      </c>
      <c r="J903" t="str">
        <f>VLOOKUP(D903,Product_Master!A:D,3,FALSE)</f>
        <v>Electronics</v>
      </c>
      <c r="K903">
        <f>VLOOKUP(D903,Product_Master!A:D,4,FALSE)</f>
        <v>900</v>
      </c>
      <c r="L903" t="str">
        <f>VLOOKUP(C903,Customer_Master!A:C,2,FALSE)</f>
        <v>Infosys</v>
      </c>
      <c r="M903" t="str">
        <f>VLOOKUP(C903,Customer_Master!A:C,3,FALSE)</f>
        <v>Corporate</v>
      </c>
      <c r="N903">
        <f>Table1[[#This Row],[Quantity]]*Table1[[#This Row],[Unit_Price]]</f>
        <v>16170</v>
      </c>
      <c r="O903">
        <f>(Table1[[#This Row],[Unit_Price]]-Table1[[#This Row],[Cost_Price]])*Table1[[#This Row],[Quantity]]</f>
        <v>7170</v>
      </c>
      <c r="P903">
        <f t="shared" si="14"/>
        <v>16170</v>
      </c>
      <c r="Q903" t="str">
        <f>TEXT(Table1[[#This Row],[Order_Date]],"mmm-yyyy")</f>
        <v>Jun-2024</v>
      </c>
    </row>
    <row r="904" spans="1:17" x14ac:dyDescent="0.35">
      <c r="A904" t="s">
        <v>1273</v>
      </c>
      <c r="B904" t="s">
        <v>1175</v>
      </c>
      <c r="C904" t="s">
        <v>30</v>
      </c>
      <c r="D904" t="s">
        <v>22</v>
      </c>
      <c r="E904" t="s">
        <v>12</v>
      </c>
      <c r="F904" t="s">
        <v>34</v>
      </c>
      <c r="G904">
        <v>5</v>
      </c>
      <c r="H904">
        <v>1864</v>
      </c>
      <c r="I904" t="str">
        <f>VLOOKUP(D904,Product_Master!A:D,2,FALSE)</f>
        <v>Desk</v>
      </c>
      <c r="J904" t="str">
        <f>VLOOKUP(D904,Product_Master!A:D,3,FALSE)</f>
        <v>Furniture</v>
      </c>
      <c r="K904">
        <f>VLOOKUP(D904,Product_Master!A:D,4,FALSE)</f>
        <v>300</v>
      </c>
      <c r="L904" t="str">
        <f>VLOOKUP(C904,Customer_Master!A:C,2,FALSE)</f>
        <v>Infosys</v>
      </c>
      <c r="M904" t="str">
        <f>VLOOKUP(C904,Customer_Master!A:C,3,FALSE)</f>
        <v>Corporate</v>
      </c>
      <c r="N904">
        <f>Table1[[#This Row],[Quantity]]*Table1[[#This Row],[Unit_Price]]</f>
        <v>9320</v>
      </c>
      <c r="O904">
        <f>(Table1[[#This Row],[Unit_Price]]-Table1[[#This Row],[Cost_Price]])*Table1[[#This Row],[Quantity]]</f>
        <v>7820</v>
      </c>
      <c r="P904">
        <f t="shared" si="14"/>
        <v>9320</v>
      </c>
      <c r="Q904" t="str">
        <f>TEXT(Table1[[#This Row],[Order_Date]],"mmm-yyyy")</f>
        <v>Sep-2024</v>
      </c>
    </row>
    <row r="905" spans="1:17" x14ac:dyDescent="0.35">
      <c r="A905" t="s">
        <v>1274</v>
      </c>
      <c r="B905" t="s">
        <v>96</v>
      </c>
      <c r="C905" t="s">
        <v>30</v>
      </c>
      <c r="D905" t="s">
        <v>26</v>
      </c>
      <c r="E905" t="s">
        <v>27</v>
      </c>
      <c r="F905" t="s">
        <v>34</v>
      </c>
      <c r="G905">
        <v>1</v>
      </c>
      <c r="H905">
        <v>1041</v>
      </c>
      <c r="I905" t="str">
        <f>VLOOKUP(D905,Product_Master!A:D,2,FALSE)</f>
        <v>Laptop</v>
      </c>
      <c r="J905" t="str">
        <f>VLOOKUP(D905,Product_Master!A:D,3,FALSE)</f>
        <v>Electronics</v>
      </c>
      <c r="K905">
        <f>VLOOKUP(D905,Product_Master!A:D,4,FALSE)</f>
        <v>900</v>
      </c>
      <c r="L905" t="str">
        <f>VLOOKUP(C905,Customer_Master!A:C,2,FALSE)</f>
        <v>Infosys</v>
      </c>
      <c r="M905" t="str">
        <f>VLOOKUP(C905,Customer_Master!A:C,3,FALSE)</f>
        <v>Corporate</v>
      </c>
      <c r="N905">
        <f>Table1[[#This Row],[Quantity]]*Table1[[#This Row],[Unit_Price]]</f>
        <v>1041</v>
      </c>
      <c r="O905">
        <f>(Table1[[#This Row],[Unit_Price]]-Table1[[#This Row],[Cost_Price]])*Table1[[#This Row],[Quantity]]</f>
        <v>141</v>
      </c>
      <c r="P905">
        <f t="shared" si="14"/>
        <v>1041</v>
      </c>
      <c r="Q905" t="str">
        <f>TEXT(Table1[[#This Row],[Order_Date]],"mmm-yyyy")</f>
        <v>Jan-2024</v>
      </c>
    </row>
    <row r="906" spans="1:17" x14ac:dyDescent="0.35">
      <c r="A906" t="s">
        <v>1275</v>
      </c>
      <c r="B906" t="s">
        <v>403</v>
      </c>
      <c r="C906" t="s">
        <v>42</v>
      </c>
      <c r="D906" t="s">
        <v>22</v>
      </c>
      <c r="E906" t="s">
        <v>12</v>
      </c>
      <c r="F906" t="s">
        <v>34</v>
      </c>
      <c r="G906">
        <v>7</v>
      </c>
      <c r="H906">
        <v>1453</v>
      </c>
      <c r="I906" t="str">
        <f>VLOOKUP(D906,Product_Master!A:D,2,FALSE)</f>
        <v>Desk</v>
      </c>
      <c r="J906" t="str">
        <f>VLOOKUP(D906,Product_Master!A:D,3,FALSE)</f>
        <v>Furniture</v>
      </c>
      <c r="K906">
        <f>VLOOKUP(D906,Product_Master!A:D,4,FALSE)</f>
        <v>300</v>
      </c>
      <c r="L906" t="str">
        <f>VLOOKUP(C906,Customer_Master!A:C,2,FALSE)</f>
        <v>Ramesh</v>
      </c>
      <c r="M906" t="str">
        <f>VLOOKUP(C906,Customer_Master!A:C,3,FALSE)</f>
        <v>Consumer</v>
      </c>
      <c r="N906">
        <f>Table1[[#This Row],[Quantity]]*Table1[[#This Row],[Unit_Price]]</f>
        <v>10171</v>
      </c>
      <c r="O906">
        <f>(Table1[[#This Row],[Unit_Price]]-Table1[[#This Row],[Cost_Price]])*Table1[[#This Row],[Quantity]]</f>
        <v>8071</v>
      </c>
      <c r="P906">
        <f t="shared" si="14"/>
        <v>10171</v>
      </c>
      <c r="Q906" t="str">
        <f>TEXT(Table1[[#This Row],[Order_Date]],"mmm-yyyy")</f>
        <v>Jul-2024</v>
      </c>
    </row>
    <row r="907" spans="1:17" x14ac:dyDescent="0.35">
      <c r="A907" t="s">
        <v>1276</v>
      </c>
      <c r="B907" t="s">
        <v>374</v>
      </c>
      <c r="C907" t="s">
        <v>21</v>
      </c>
      <c r="D907" t="s">
        <v>22</v>
      </c>
      <c r="E907" t="s">
        <v>12</v>
      </c>
      <c r="F907" t="s">
        <v>23</v>
      </c>
      <c r="G907">
        <v>10</v>
      </c>
      <c r="H907">
        <v>1405</v>
      </c>
      <c r="I907" t="str">
        <f>VLOOKUP(D907,Product_Master!A:D,2,FALSE)</f>
        <v>Desk</v>
      </c>
      <c r="J907" t="str">
        <f>VLOOKUP(D907,Product_Master!A:D,3,FALSE)</f>
        <v>Furniture</v>
      </c>
      <c r="K907">
        <f>VLOOKUP(D907,Product_Master!A:D,4,FALSE)</f>
        <v>300</v>
      </c>
      <c r="L907" t="str">
        <f>VLOOKUP(C907,Customer_Master!A:C,2,FALSE)</f>
        <v>Reliance</v>
      </c>
      <c r="M907" t="str">
        <f>VLOOKUP(C907,Customer_Master!A:C,3,FALSE)</f>
        <v>Corporate</v>
      </c>
      <c r="N907">
        <f>Table1[[#This Row],[Quantity]]*Table1[[#This Row],[Unit_Price]]</f>
        <v>14050</v>
      </c>
      <c r="O907">
        <f>(Table1[[#This Row],[Unit_Price]]-Table1[[#This Row],[Cost_Price]])*Table1[[#This Row],[Quantity]]</f>
        <v>11050</v>
      </c>
      <c r="P907">
        <f t="shared" si="14"/>
        <v>14050</v>
      </c>
      <c r="Q907" t="str">
        <f>TEXT(Table1[[#This Row],[Order_Date]],"mmm-yyyy")</f>
        <v>Nov-2024</v>
      </c>
    </row>
    <row r="908" spans="1:17" x14ac:dyDescent="0.35">
      <c r="A908" t="s">
        <v>1277</v>
      </c>
      <c r="B908" t="s">
        <v>569</v>
      </c>
      <c r="C908" t="s">
        <v>10</v>
      </c>
      <c r="D908" t="s">
        <v>11</v>
      </c>
      <c r="E908" t="s">
        <v>12</v>
      </c>
      <c r="F908" t="s">
        <v>34</v>
      </c>
      <c r="G908">
        <v>2</v>
      </c>
      <c r="H908">
        <v>981</v>
      </c>
      <c r="I908" t="str">
        <f>VLOOKUP(D908,Product_Master!A:D,2,FALSE)</f>
        <v>Chair</v>
      </c>
      <c r="J908" t="str">
        <f>VLOOKUP(D908,Product_Master!A:D,3,FALSE)</f>
        <v>Furniture</v>
      </c>
      <c r="K908">
        <f>VLOOKUP(D908,Product_Master!A:D,4,FALSE)</f>
        <v>150</v>
      </c>
      <c r="L908" t="str">
        <f>VLOOKUP(C908,Customer_Master!A:C,2,FALSE)</f>
        <v>Suresh</v>
      </c>
      <c r="M908" t="str">
        <f>VLOOKUP(C908,Customer_Master!A:C,3,FALSE)</f>
        <v>Consumer</v>
      </c>
      <c r="N908">
        <f>Table1[[#This Row],[Quantity]]*Table1[[#This Row],[Unit_Price]]</f>
        <v>1962</v>
      </c>
      <c r="O908">
        <f>(Table1[[#This Row],[Unit_Price]]-Table1[[#This Row],[Cost_Price]])*Table1[[#This Row],[Quantity]]</f>
        <v>1662</v>
      </c>
      <c r="P908">
        <f t="shared" si="14"/>
        <v>1962</v>
      </c>
      <c r="Q908" t="str">
        <f>TEXT(Table1[[#This Row],[Order_Date]],"mmm-yyyy")</f>
        <v>Aug-2024</v>
      </c>
    </row>
    <row r="909" spans="1:17" x14ac:dyDescent="0.35">
      <c r="A909" t="s">
        <v>1278</v>
      </c>
      <c r="B909" t="s">
        <v>1279</v>
      </c>
      <c r="C909" t="s">
        <v>45</v>
      </c>
      <c r="D909" t="s">
        <v>11</v>
      </c>
      <c r="E909" t="s">
        <v>33</v>
      </c>
      <c r="F909" t="s">
        <v>23</v>
      </c>
      <c r="G909">
        <v>9</v>
      </c>
      <c r="H909">
        <v>1835</v>
      </c>
      <c r="I909" t="str">
        <f>VLOOKUP(D909,Product_Master!A:D,2,FALSE)</f>
        <v>Chair</v>
      </c>
      <c r="J909" t="str">
        <f>VLOOKUP(D909,Product_Master!A:D,3,FALSE)</f>
        <v>Furniture</v>
      </c>
      <c r="K909">
        <f>VLOOKUP(D909,Product_Master!A:D,4,FALSE)</f>
        <v>150</v>
      </c>
      <c r="L909" t="str">
        <f>VLOOKUP(C909,Customer_Master!A:C,2,FALSE)</f>
        <v>TCS</v>
      </c>
      <c r="M909" t="str">
        <f>VLOOKUP(C909,Customer_Master!A:C,3,FALSE)</f>
        <v>Corporate</v>
      </c>
      <c r="N909">
        <f>Table1[[#This Row],[Quantity]]*Table1[[#This Row],[Unit_Price]]</f>
        <v>16515</v>
      </c>
      <c r="O909">
        <f>(Table1[[#This Row],[Unit_Price]]-Table1[[#This Row],[Cost_Price]])*Table1[[#This Row],[Quantity]]</f>
        <v>15165</v>
      </c>
      <c r="P909">
        <f t="shared" si="14"/>
        <v>16515</v>
      </c>
      <c r="Q909" t="str">
        <f>TEXT(Table1[[#This Row],[Order_Date]],"mmm-yyyy")</f>
        <v>Nov-2024</v>
      </c>
    </row>
    <row r="910" spans="1:17" x14ac:dyDescent="0.35">
      <c r="A910" t="s">
        <v>1280</v>
      </c>
      <c r="B910" t="s">
        <v>495</v>
      </c>
      <c r="C910" t="s">
        <v>10</v>
      </c>
      <c r="D910" t="s">
        <v>26</v>
      </c>
      <c r="E910" t="s">
        <v>33</v>
      </c>
      <c r="F910" t="s">
        <v>13</v>
      </c>
      <c r="G910">
        <v>3</v>
      </c>
      <c r="H910">
        <v>1732</v>
      </c>
      <c r="I910" t="str">
        <f>VLOOKUP(D910,Product_Master!A:D,2,FALSE)</f>
        <v>Laptop</v>
      </c>
      <c r="J910" t="str">
        <f>VLOOKUP(D910,Product_Master!A:D,3,FALSE)</f>
        <v>Electronics</v>
      </c>
      <c r="K910">
        <f>VLOOKUP(D910,Product_Master!A:D,4,FALSE)</f>
        <v>900</v>
      </c>
      <c r="L910" t="str">
        <f>VLOOKUP(C910,Customer_Master!A:C,2,FALSE)</f>
        <v>Suresh</v>
      </c>
      <c r="M910" t="str">
        <f>VLOOKUP(C910,Customer_Master!A:C,3,FALSE)</f>
        <v>Consumer</v>
      </c>
      <c r="N910">
        <f>Table1[[#This Row],[Quantity]]*Table1[[#This Row],[Unit_Price]]</f>
        <v>5196</v>
      </c>
      <c r="O910">
        <f>(Table1[[#This Row],[Unit_Price]]-Table1[[#This Row],[Cost_Price]])*Table1[[#This Row],[Quantity]]</f>
        <v>2496</v>
      </c>
      <c r="P910">
        <f t="shared" si="14"/>
        <v>5196</v>
      </c>
      <c r="Q910" t="str">
        <f>TEXT(Table1[[#This Row],[Order_Date]],"mmm-yyyy")</f>
        <v>Apr-2024</v>
      </c>
    </row>
    <row r="911" spans="1:17" x14ac:dyDescent="0.35">
      <c r="A911" t="s">
        <v>1281</v>
      </c>
      <c r="B911" t="s">
        <v>100</v>
      </c>
      <c r="C911" t="s">
        <v>21</v>
      </c>
      <c r="D911" t="s">
        <v>16</v>
      </c>
      <c r="E911" t="s">
        <v>12</v>
      </c>
      <c r="F911" t="s">
        <v>23</v>
      </c>
      <c r="G911">
        <v>8</v>
      </c>
      <c r="H911">
        <v>1360</v>
      </c>
      <c r="I911" t="str">
        <f>VLOOKUP(D911,Product_Master!A:D,2,FALSE)</f>
        <v>Printer</v>
      </c>
      <c r="J911" t="str">
        <f>VLOOKUP(D911,Product_Master!A:D,3,FALSE)</f>
        <v>Electronics</v>
      </c>
      <c r="K911">
        <f>VLOOKUP(D911,Product_Master!A:D,4,FALSE)</f>
        <v>1100</v>
      </c>
      <c r="L911" t="str">
        <f>VLOOKUP(C911,Customer_Master!A:C,2,FALSE)</f>
        <v>Reliance</v>
      </c>
      <c r="M911" t="str">
        <f>VLOOKUP(C911,Customer_Master!A:C,3,FALSE)</f>
        <v>Corporate</v>
      </c>
      <c r="N911">
        <f>Table1[[#This Row],[Quantity]]*Table1[[#This Row],[Unit_Price]]</f>
        <v>10880</v>
      </c>
      <c r="O911">
        <f>(Table1[[#This Row],[Unit_Price]]-Table1[[#This Row],[Cost_Price]])*Table1[[#This Row],[Quantity]]</f>
        <v>2080</v>
      </c>
      <c r="P911">
        <f t="shared" si="14"/>
        <v>10880</v>
      </c>
      <c r="Q911" t="str">
        <f>TEXT(Table1[[#This Row],[Order_Date]],"mmm-yyyy")</f>
        <v>Nov-2024</v>
      </c>
    </row>
    <row r="912" spans="1:17" x14ac:dyDescent="0.35">
      <c r="A912" t="s">
        <v>1282</v>
      </c>
      <c r="B912" t="s">
        <v>648</v>
      </c>
      <c r="C912" t="s">
        <v>10</v>
      </c>
      <c r="D912" t="s">
        <v>16</v>
      </c>
      <c r="E912" t="s">
        <v>12</v>
      </c>
      <c r="F912" t="s">
        <v>13</v>
      </c>
      <c r="G912">
        <v>8</v>
      </c>
      <c r="H912">
        <v>1432</v>
      </c>
      <c r="I912" t="str">
        <f>VLOOKUP(D912,Product_Master!A:D,2,FALSE)</f>
        <v>Printer</v>
      </c>
      <c r="J912" t="str">
        <f>VLOOKUP(D912,Product_Master!A:D,3,FALSE)</f>
        <v>Electronics</v>
      </c>
      <c r="K912">
        <f>VLOOKUP(D912,Product_Master!A:D,4,FALSE)</f>
        <v>1100</v>
      </c>
      <c r="L912" t="str">
        <f>VLOOKUP(C912,Customer_Master!A:C,2,FALSE)</f>
        <v>Suresh</v>
      </c>
      <c r="M912" t="str">
        <f>VLOOKUP(C912,Customer_Master!A:C,3,FALSE)</f>
        <v>Consumer</v>
      </c>
      <c r="N912">
        <f>Table1[[#This Row],[Quantity]]*Table1[[#This Row],[Unit_Price]]</f>
        <v>11456</v>
      </c>
      <c r="O912">
        <f>(Table1[[#This Row],[Unit_Price]]-Table1[[#This Row],[Cost_Price]])*Table1[[#This Row],[Quantity]]</f>
        <v>2656</v>
      </c>
      <c r="P912">
        <f t="shared" si="14"/>
        <v>11456</v>
      </c>
      <c r="Q912" t="str">
        <f>TEXT(Table1[[#This Row],[Order_Date]],"mmm-yyyy")</f>
        <v>May-2024</v>
      </c>
    </row>
    <row r="913" spans="1:17" x14ac:dyDescent="0.35">
      <c r="A913" t="s">
        <v>1283</v>
      </c>
      <c r="B913" t="s">
        <v>706</v>
      </c>
      <c r="C913" t="s">
        <v>30</v>
      </c>
      <c r="D913" t="s">
        <v>26</v>
      </c>
      <c r="E913" t="s">
        <v>12</v>
      </c>
      <c r="F913" t="s">
        <v>13</v>
      </c>
      <c r="G913">
        <v>10</v>
      </c>
      <c r="H913">
        <v>1368</v>
      </c>
      <c r="I913" t="str">
        <f>VLOOKUP(D913,Product_Master!A:D,2,FALSE)</f>
        <v>Laptop</v>
      </c>
      <c r="J913" t="str">
        <f>VLOOKUP(D913,Product_Master!A:D,3,FALSE)</f>
        <v>Electronics</v>
      </c>
      <c r="K913">
        <f>VLOOKUP(D913,Product_Master!A:D,4,FALSE)</f>
        <v>900</v>
      </c>
      <c r="L913" t="str">
        <f>VLOOKUP(C913,Customer_Master!A:C,2,FALSE)</f>
        <v>Infosys</v>
      </c>
      <c r="M913" t="str">
        <f>VLOOKUP(C913,Customer_Master!A:C,3,FALSE)</f>
        <v>Corporate</v>
      </c>
      <c r="N913">
        <f>Table1[[#This Row],[Quantity]]*Table1[[#This Row],[Unit_Price]]</f>
        <v>13680</v>
      </c>
      <c r="O913">
        <f>(Table1[[#This Row],[Unit_Price]]-Table1[[#This Row],[Cost_Price]])*Table1[[#This Row],[Quantity]]</f>
        <v>4680</v>
      </c>
      <c r="P913">
        <f t="shared" si="14"/>
        <v>13680</v>
      </c>
      <c r="Q913" t="str">
        <f>TEXT(Table1[[#This Row],[Order_Date]],"mmm-yyyy")</f>
        <v>Nov-2024</v>
      </c>
    </row>
    <row r="914" spans="1:17" x14ac:dyDescent="0.35">
      <c r="A914" t="s">
        <v>1284</v>
      </c>
      <c r="B914" t="s">
        <v>321</v>
      </c>
      <c r="C914" t="s">
        <v>45</v>
      </c>
      <c r="D914" t="s">
        <v>37</v>
      </c>
      <c r="E914" t="s">
        <v>17</v>
      </c>
      <c r="F914" t="s">
        <v>13</v>
      </c>
      <c r="G914">
        <v>8</v>
      </c>
      <c r="H914">
        <v>1805</v>
      </c>
      <c r="I914" t="str">
        <f>VLOOKUP(D914,Product_Master!A:D,2,FALSE)</f>
        <v>Mobile</v>
      </c>
      <c r="J914" t="str">
        <f>VLOOKUP(D914,Product_Master!A:D,3,FALSE)</f>
        <v>Electronics</v>
      </c>
      <c r="K914">
        <f>VLOOKUP(D914,Product_Master!A:D,4,FALSE)</f>
        <v>600</v>
      </c>
      <c r="L914" t="str">
        <f>VLOOKUP(C914,Customer_Master!A:C,2,FALSE)</f>
        <v>TCS</v>
      </c>
      <c r="M914" t="str">
        <f>VLOOKUP(C914,Customer_Master!A:C,3,FALSE)</f>
        <v>Corporate</v>
      </c>
      <c r="N914">
        <f>Table1[[#This Row],[Quantity]]*Table1[[#This Row],[Unit_Price]]</f>
        <v>14440</v>
      </c>
      <c r="O914">
        <f>(Table1[[#This Row],[Unit_Price]]-Table1[[#This Row],[Cost_Price]])*Table1[[#This Row],[Quantity]]</f>
        <v>9640</v>
      </c>
      <c r="P914">
        <f t="shared" si="14"/>
        <v>14440</v>
      </c>
      <c r="Q914" t="str">
        <f>TEXT(Table1[[#This Row],[Order_Date]],"mmm-yyyy")</f>
        <v>Aug-2024</v>
      </c>
    </row>
    <row r="915" spans="1:17" x14ac:dyDescent="0.35">
      <c r="A915" t="s">
        <v>1285</v>
      </c>
      <c r="B915" t="s">
        <v>308</v>
      </c>
      <c r="C915" t="s">
        <v>10</v>
      </c>
      <c r="D915" t="s">
        <v>26</v>
      </c>
      <c r="E915" t="s">
        <v>12</v>
      </c>
      <c r="F915" t="s">
        <v>34</v>
      </c>
      <c r="G915">
        <v>3</v>
      </c>
      <c r="H915">
        <v>838</v>
      </c>
      <c r="I915" t="str">
        <f>VLOOKUP(D915,Product_Master!A:D,2,FALSE)</f>
        <v>Laptop</v>
      </c>
      <c r="J915" t="str">
        <f>VLOOKUP(D915,Product_Master!A:D,3,FALSE)</f>
        <v>Electronics</v>
      </c>
      <c r="K915">
        <f>VLOOKUP(D915,Product_Master!A:D,4,FALSE)</f>
        <v>900</v>
      </c>
      <c r="L915" t="str">
        <f>VLOOKUP(C915,Customer_Master!A:C,2,FALSE)</f>
        <v>Suresh</v>
      </c>
      <c r="M915" t="str">
        <f>VLOOKUP(C915,Customer_Master!A:C,3,FALSE)</f>
        <v>Consumer</v>
      </c>
      <c r="N915">
        <f>Table1[[#This Row],[Quantity]]*Table1[[#This Row],[Unit_Price]]</f>
        <v>2514</v>
      </c>
      <c r="O915">
        <f>(Table1[[#This Row],[Unit_Price]]-Table1[[#This Row],[Cost_Price]])*Table1[[#This Row],[Quantity]]</f>
        <v>-186</v>
      </c>
      <c r="P915">
        <f t="shared" si="14"/>
        <v>2514</v>
      </c>
      <c r="Q915" t="str">
        <f>TEXT(Table1[[#This Row],[Order_Date]],"mmm-yyyy")</f>
        <v>May-2024</v>
      </c>
    </row>
    <row r="916" spans="1:17" x14ac:dyDescent="0.35">
      <c r="A916" t="s">
        <v>1286</v>
      </c>
      <c r="B916" t="s">
        <v>1180</v>
      </c>
      <c r="C916" t="s">
        <v>42</v>
      </c>
      <c r="D916" t="s">
        <v>16</v>
      </c>
      <c r="E916" t="s">
        <v>12</v>
      </c>
      <c r="F916" t="s">
        <v>23</v>
      </c>
      <c r="G916">
        <v>5</v>
      </c>
      <c r="H916">
        <v>1451</v>
      </c>
      <c r="I916" t="str">
        <f>VLOOKUP(D916,Product_Master!A:D,2,FALSE)</f>
        <v>Printer</v>
      </c>
      <c r="J916" t="str">
        <f>VLOOKUP(D916,Product_Master!A:D,3,FALSE)</f>
        <v>Electronics</v>
      </c>
      <c r="K916">
        <f>VLOOKUP(D916,Product_Master!A:D,4,FALSE)</f>
        <v>1100</v>
      </c>
      <c r="L916" t="str">
        <f>VLOOKUP(C916,Customer_Master!A:C,2,FALSE)</f>
        <v>Ramesh</v>
      </c>
      <c r="M916" t="str">
        <f>VLOOKUP(C916,Customer_Master!A:C,3,FALSE)</f>
        <v>Consumer</v>
      </c>
      <c r="N916">
        <f>Table1[[#This Row],[Quantity]]*Table1[[#This Row],[Unit_Price]]</f>
        <v>7255</v>
      </c>
      <c r="O916">
        <f>(Table1[[#This Row],[Unit_Price]]-Table1[[#This Row],[Cost_Price]])*Table1[[#This Row],[Quantity]]</f>
        <v>1755</v>
      </c>
      <c r="P916">
        <f t="shared" si="14"/>
        <v>7255</v>
      </c>
      <c r="Q916" t="str">
        <f>TEXT(Table1[[#This Row],[Order_Date]],"mmm-yyyy")</f>
        <v>Jul-2024</v>
      </c>
    </row>
    <row r="917" spans="1:17" x14ac:dyDescent="0.35">
      <c r="A917" t="s">
        <v>1287</v>
      </c>
      <c r="B917" t="s">
        <v>53</v>
      </c>
      <c r="C917" t="s">
        <v>10</v>
      </c>
      <c r="D917" t="s">
        <v>16</v>
      </c>
      <c r="E917" t="s">
        <v>17</v>
      </c>
      <c r="F917" t="s">
        <v>34</v>
      </c>
      <c r="G917">
        <v>10</v>
      </c>
      <c r="H917">
        <v>964</v>
      </c>
      <c r="I917" t="str">
        <f>VLOOKUP(D917,Product_Master!A:D,2,FALSE)</f>
        <v>Printer</v>
      </c>
      <c r="J917" t="str">
        <f>VLOOKUP(D917,Product_Master!A:D,3,FALSE)</f>
        <v>Electronics</v>
      </c>
      <c r="K917">
        <f>VLOOKUP(D917,Product_Master!A:D,4,FALSE)</f>
        <v>1100</v>
      </c>
      <c r="L917" t="str">
        <f>VLOOKUP(C917,Customer_Master!A:C,2,FALSE)</f>
        <v>Suresh</v>
      </c>
      <c r="M917" t="str">
        <f>VLOOKUP(C917,Customer_Master!A:C,3,FALSE)</f>
        <v>Consumer</v>
      </c>
      <c r="N917">
        <f>Table1[[#This Row],[Quantity]]*Table1[[#This Row],[Unit_Price]]</f>
        <v>9640</v>
      </c>
      <c r="O917">
        <f>(Table1[[#This Row],[Unit_Price]]-Table1[[#This Row],[Cost_Price]])*Table1[[#This Row],[Quantity]]</f>
        <v>-1360</v>
      </c>
      <c r="P917">
        <f t="shared" si="14"/>
        <v>9640</v>
      </c>
      <c r="Q917" t="str">
        <f>TEXT(Table1[[#This Row],[Order_Date]],"mmm-yyyy")</f>
        <v>Jul-2024</v>
      </c>
    </row>
    <row r="918" spans="1:17" x14ac:dyDescent="0.35">
      <c r="A918" t="s">
        <v>1288</v>
      </c>
      <c r="B918" t="s">
        <v>226</v>
      </c>
      <c r="C918" t="s">
        <v>45</v>
      </c>
      <c r="D918" t="s">
        <v>16</v>
      </c>
      <c r="E918" t="s">
        <v>27</v>
      </c>
      <c r="F918" t="s">
        <v>23</v>
      </c>
      <c r="G918">
        <v>9</v>
      </c>
      <c r="H918">
        <v>1674</v>
      </c>
      <c r="I918" t="str">
        <f>VLOOKUP(D918,Product_Master!A:D,2,FALSE)</f>
        <v>Printer</v>
      </c>
      <c r="J918" t="str">
        <f>VLOOKUP(D918,Product_Master!A:D,3,FALSE)</f>
        <v>Electronics</v>
      </c>
      <c r="K918">
        <f>VLOOKUP(D918,Product_Master!A:D,4,FALSE)</f>
        <v>1100</v>
      </c>
      <c r="L918" t="str">
        <f>VLOOKUP(C918,Customer_Master!A:C,2,FALSE)</f>
        <v>TCS</v>
      </c>
      <c r="M918" t="str">
        <f>VLOOKUP(C918,Customer_Master!A:C,3,FALSE)</f>
        <v>Corporate</v>
      </c>
      <c r="N918">
        <f>Table1[[#This Row],[Quantity]]*Table1[[#This Row],[Unit_Price]]</f>
        <v>15066</v>
      </c>
      <c r="O918">
        <f>(Table1[[#This Row],[Unit_Price]]-Table1[[#This Row],[Cost_Price]])*Table1[[#This Row],[Quantity]]</f>
        <v>5166</v>
      </c>
      <c r="P918">
        <f t="shared" si="14"/>
        <v>15066</v>
      </c>
      <c r="Q918" t="str">
        <f>TEXT(Table1[[#This Row],[Order_Date]],"mmm-yyyy")</f>
        <v>May-2024</v>
      </c>
    </row>
    <row r="919" spans="1:17" x14ac:dyDescent="0.35">
      <c r="A919" t="s">
        <v>1289</v>
      </c>
      <c r="B919" t="s">
        <v>567</v>
      </c>
      <c r="C919" t="s">
        <v>30</v>
      </c>
      <c r="D919" t="s">
        <v>37</v>
      </c>
      <c r="E919" t="s">
        <v>33</v>
      </c>
      <c r="F919" t="s">
        <v>23</v>
      </c>
      <c r="G919">
        <v>10</v>
      </c>
      <c r="H919">
        <v>1522</v>
      </c>
      <c r="I919" t="str">
        <f>VLOOKUP(D919,Product_Master!A:D,2,FALSE)</f>
        <v>Mobile</v>
      </c>
      <c r="J919" t="str">
        <f>VLOOKUP(D919,Product_Master!A:D,3,FALSE)</f>
        <v>Electronics</v>
      </c>
      <c r="K919">
        <f>VLOOKUP(D919,Product_Master!A:D,4,FALSE)</f>
        <v>600</v>
      </c>
      <c r="L919" t="str">
        <f>VLOOKUP(C919,Customer_Master!A:C,2,FALSE)</f>
        <v>Infosys</v>
      </c>
      <c r="M919" t="str">
        <f>VLOOKUP(C919,Customer_Master!A:C,3,FALSE)</f>
        <v>Corporate</v>
      </c>
      <c r="N919">
        <f>Table1[[#This Row],[Quantity]]*Table1[[#This Row],[Unit_Price]]</f>
        <v>15220</v>
      </c>
      <c r="O919">
        <f>(Table1[[#This Row],[Unit_Price]]-Table1[[#This Row],[Cost_Price]])*Table1[[#This Row],[Quantity]]</f>
        <v>9220</v>
      </c>
      <c r="P919">
        <f t="shared" si="14"/>
        <v>15220</v>
      </c>
      <c r="Q919" t="str">
        <f>TEXT(Table1[[#This Row],[Order_Date]],"mmm-yyyy")</f>
        <v>Apr-2024</v>
      </c>
    </row>
    <row r="920" spans="1:17" x14ac:dyDescent="0.35">
      <c r="A920" t="s">
        <v>1290</v>
      </c>
      <c r="B920" t="s">
        <v>765</v>
      </c>
      <c r="C920" t="s">
        <v>21</v>
      </c>
      <c r="D920" t="s">
        <v>11</v>
      </c>
      <c r="E920" t="s">
        <v>27</v>
      </c>
      <c r="F920" t="s">
        <v>18</v>
      </c>
      <c r="G920">
        <v>7</v>
      </c>
      <c r="H920">
        <v>1945</v>
      </c>
      <c r="I920" t="str">
        <f>VLOOKUP(D920,Product_Master!A:D,2,FALSE)</f>
        <v>Chair</v>
      </c>
      <c r="J920" t="str">
        <f>VLOOKUP(D920,Product_Master!A:D,3,FALSE)</f>
        <v>Furniture</v>
      </c>
      <c r="K920">
        <f>VLOOKUP(D920,Product_Master!A:D,4,FALSE)</f>
        <v>150</v>
      </c>
      <c r="L920" t="str">
        <f>VLOOKUP(C920,Customer_Master!A:C,2,FALSE)</f>
        <v>Reliance</v>
      </c>
      <c r="M920" t="str">
        <f>VLOOKUP(C920,Customer_Master!A:C,3,FALSE)</f>
        <v>Corporate</v>
      </c>
      <c r="N920">
        <f>Table1[[#This Row],[Quantity]]*Table1[[#This Row],[Unit_Price]]</f>
        <v>13615</v>
      </c>
      <c r="O920">
        <f>(Table1[[#This Row],[Unit_Price]]-Table1[[#This Row],[Cost_Price]])*Table1[[#This Row],[Quantity]]</f>
        <v>12565</v>
      </c>
      <c r="P920">
        <f t="shared" si="14"/>
        <v>13615</v>
      </c>
      <c r="Q920" t="str">
        <f>TEXT(Table1[[#This Row],[Order_Date]],"mmm-yyyy")</f>
        <v>Dec-2024</v>
      </c>
    </row>
    <row r="921" spans="1:17" x14ac:dyDescent="0.35">
      <c r="A921" t="s">
        <v>1291</v>
      </c>
      <c r="B921" t="s">
        <v>1052</v>
      </c>
      <c r="C921" t="s">
        <v>10</v>
      </c>
      <c r="D921" t="s">
        <v>37</v>
      </c>
      <c r="E921" t="s">
        <v>33</v>
      </c>
      <c r="F921" t="s">
        <v>13</v>
      </c>
      <c r="G921">
        <v>1</v>
      </c>
      <c r="H921">
        <v>1039</v>
      </c>
      <c r="I921" t="str">
        <f>VLOOKUP(D921,Product_Master!A:D,2,FALSE)</f>
        <v>Mobile</v>
      </c>
      <c r="J921" t="str">
        <f>VLOOKUP(D921,Product_Master!A:D,3,FALSE)</f>
        <v>Electronics</v>
      </c>
      <c r="K921">
        <f>VLOOKUP(D921,Product_Master!A:D,4,FALSE)</f>
        <v>600</v>
      </c>
      <c r="L921" t="str">
        <f>VLOOKUP(C921,Customer_Master!A:C,2,FALSE)</f>
        <v>Suresh</v>
      </c>
      <c r="M921" t="str">
        <f>VLOOKUP(C921,Customer_Master!A:C,3,FALSE)</f>
        <v>Consumer</v>
      </c>
      <c r="N921">
        <f>Table1[[#This Row],[Quantity]]*Table1[[#This Row],[Unit_Price]]</f>
        <v>1039</v>
      </c>
      <c r="O921">
        <f>(Table1[[#This Row],[Unit_Price]]-Table1[[#This Row],[Cost_Price]])*Table1[[#This Row],[Quantity]]</f>
        <v>439</v>
      </c>
      <c r="P921">
        <f t="shared" si="14"/>
        <v>1039</v>
      </c>
      <c r="Q921" t="str">
        <f>TEXT(Table1[[#This Row],[Order_Date]],"mmm-yyyy")</f>
        <v>Jul-2024</v>
      </c>
    </row>
    <row r="922" spans="1:17" x14ac:dyDescent="0.35">
      <c r="A922" t="s">
        <v>1292</v>
      </c>
      <c r="B922" t="s">
        <v>376</v>
      </c>
      <c r="C922" t="s">
        <v>21</v>
      </c>
      <c r="D922" t="s">
        <v>11</v>
      </c>
      <c r="E922" t="s">
        <v>27</v>
      </c>
      <c r="F922" t="s">
        <v>13</v>
      </c>
      <c r="G922">
        <v>10</v>
      </c>
      <c r="H922">
        <v>1051</v>
      </c>
      <c r="I922" t="str">
        <f>VLOOKUP(D922,Product_Master!A:D,2,FALSE)</f>
        <v>Chair</v>
      </c>
      <c r="J922" t="str">
        <f>VLOOKUP(D922,Product_Master!A:D,3,FALSE)</f>
        <v>Furniture</v>
      </c>
      <c r="K922">
        <f>VLOOKUP(D922,Product_Master!A:D,4,FALSE)</f>
        <v>150</v>
      </c>
      <c r="L922" t="str">
        <f>VLOOKUP(C922,Customer_Master!A:C,2,FALSE)</f>
        <v>Reliance</v>
      </c>
      <c r="M922" t="str">
        <f>VLOOKUP(C922,Customer_Master!A:C,3,FALSE)</f>
        <v>Corporate</v>
      </c>
      <c r="N922">
        <f>Table1[[#This Row],[Quantity]]*Table1[[#This Row],[Unit_Price]]</f>
        <v>10510</v>
      </c>
      <c r="O922">
        <f>(Table1[[#This Row],[Unit_Price]]-Table1[[#This Row],[Cost_Price]])*Table1[[#This Row],[Quantity]]</f>
        <v>9010</v>
      </c>
      <c r="P922">
        <f t="shared" si="14"/>
        <v>10510</v>
      </c>
      <c r="Q922" t="str">
        <f>TEXT(Table1[[#This Row],[Order_Date]],"mmm-yyyy")</f>
        <v>May-2024</v>
      </c>
    </row>
    <row r="923" spans="1:17" x14ac:dyDescent="0.35">
      <c r="A923" t="s">
        <v>1293</v>
      </c>
      <c r="B923" t="s">
        <v>104</v>
      </c>
      <c r="C923" t="s">
        <v>21</v>
      </c>
      <c r="D923" t="s">
        <v>22</v>
      </c>
      <c r="E923" t="s">
        <v>27</v>
      </c>
      <c r="F923" t="s">
        <v>34</v>
      </c>
      <c r="G923">
        <v>7</v>
      </c>
      <c r="H923">
        <v>1174</v>
      </c>
      <c r="I923" t="str">
        <f>VLOOKUP(D923,Product_Master!A:D,2,FALSE)</f>
        <v>Desk</v>
      </c>
      <c r="J923" t="str">
        <f>VLOOKUP(D923,Product_Master!A:D,3,FALSE)</f>
        <v>Furniture</v>
      </c>
      <c r="K923">
        <f>VLOOKUP(D923,Product_Master!A:D,4,FALSE)</f>
        <v>300</v>
      </c>
      <c r="L923" t="str">
        <f>VLOOKUP(C923,Customer_Master!A:C,2,FALSE)</f>
        <v>Reliance</v>
      </c>
      <c r="M923" t="str">
        <f>VLOOKUP(C923,Customer_Master!A:C,3,FALSE)</f>
        <v>Corporate</v>
      </c>
      <c r="N923">
        <f>Table1[[#This Row],[Quantity]]*Table1[[#This Row],[Unit_Price]]</f>
        <v>8218</v>
      </c>
      <c r="O923">
        <f>(Table1[[#This Row],[Unit_Price]]-Table1[[#This Row],[Cost_Price]])*Table1[[#This Row],[Quantity]]</f>
        <v>6118</v>
      </c>
      <c r="P923">
        <f t="shared" si="14"/>
        <v>8218</v>
      </c>
      <c r="Q923" t="str">
        <f>TEXT(Table1[[#This Row],[Order_Date]],"mmm-yyyy")</f>
        <v>Oct-2024</v>
      </c>
    </row>
    <row r="924" spans="1:17" x14ac:dyDescent="0.35">
      <c r="A924" t="s">
        <v>1294</v>
      </c>
      <c r="B924" t="s">
        <v>191</v>
      </c>
      <c r="C924" t="s">
        <v>21</v>
      </c>
      <c r="D924" t="s">
        <v>11</v>
      </c>
      <c r="E924" t="s">
        <v>33</v>
      </c>
      <c r="F924" t="s">
        <v>23</v>
      </c>
      <c r="G924">
        <v>1</v>
      </c>
      <c r="H924">
        <v>1136</v>
      </c>
      <c r="I924" t="str">
        <f>VLOOKUP(D924,Product_Master!A:D,2,FALSE)</f>
        <v>Chair</v>
      </c>
      <c r="J924" t="str">
        <f>VLOOKUP(D924,Product_Master!A:D,3,FALSE)</f>
        <v>Furniture</v>
      </c>
      <c r="K924">
        <f>VLOOKUP(D924,Product_Master!A:D,4,FALSE)</f>
        <v>150</v>
      </c>
      <c r="L924" t="str">
        <f>VLOOKUP(C924,Customer_Master!A:C,2,FALSE)</f>
        <v>Reliance</v>
      </c>
      <c r="M924" t="str">
        <f>VLOOKUP(C924,Customer_Master!A:C,3,FALSE)</f>
        <v>Corporate</v>
      </c>
      <c r="N924">
        <f>Table1[[#This Row],[Quantity]]*Table1[[#This Row],[Unit_Price]]</f>
        <v>1136</v>
      </c>
      <c r="O924">
        <f>(Table1[[#This Row],[Unit_Price]]-Table1[[#This Row],[Cost_Price]])*Table1[[#This Row],[Quantity]]</f>
        <v>986</v>
      </c>
      <c r="P924">
        <f t="shared" si="14"/>
        <v>1136</v>
      </c>
      <c r="Q924" t="str">
        <f>TEXT(Table1[[#This Row],[Order_Date]],"mmm-yyyy")</f>
        <v>Jul-2024</v>
      </c>
    </row>
    <row r="925" spans="1:17" x14ac:dyDescent="0.35">
      <c r="A925" t="s">
        <v>1295</v>
      </c>
      <c r="B925" t="s">
        <v>464</v>
      </c>
      <c r="C925" t="s">
        <v>42</v>
      </c>
      <c r="D925" t="s">
        <v>22</v>
      </c>
      <c r="E925" t="s">
        <v>17</v>
      </c>
      <c r="F925" t="s">
        <v>34</v>
      </c>
      <c r="G925">
        <v>7</v>
      </c>
      <c r="H925">
        <v>1635</v>
      </c>
      <c r="I925" t="str">
        <f>VLOOKUP(D925,Product_Master!A:D,2,FALSE)</f>
        <v>Desk</v>
      </c>
      <c r="J925" t="str">
        <f>VLOOKUP(D925,Product_Master!A:D,3,FALSE)</f>
        <v>Furniture</v>
      </c>
      <c r="K925">
        <f>VLOOKUP(D925,Product_Master!A:D,4,FALSE)</f>
        <v>300</v>
      </c>
      <c r="L925" t="str">
        <f>VLOOKUP(C925,Customer_Master!A:C,2,FALSE)</f>
        <v>Ramesh</v>
      </c>
      <c r="M925" t="str">
        <f>VLOOKUP(C925,Customer_Master!A:C,3,FALSE)</f>
        <v>Consumer</v>
      </c>
      <c r="N925">
        <f>Table1[[#This Row],[Quantity]]*Table1[[#This Row],[Unit_Price]]</f>
        <v>11445</v>
      </c>
      <c r="O925">
        <f>(Table1[[#This Row],[Unit_Price]]-Table1[[#This Row],[Cost_Price]])*Table1[[#This Row],[Quantity]]</f>
        <v>9345</v>
      </c>
      <c r="P925">
        <f t="shared" si="14"/>
        <v>11445</v>
      </c>
      <c r="Q925" t="str">
        <f>TEXT(Table1[[#This Row],[Order_Date]],"mmm-yyyy")</f>
        <v>Feb-2024</v>
      </c>
    </row>
    <row r="926" spans="1:17" x14ac:dyDescent="0.35">
      <c r="A926" t="s">
        <v>1296</v>
      </c>
      <c r="B926" t="s">
        <v>734</v>
      </c>
      <c r="C926" t="s">
        <v>21</v>
      </c>
      <c r="D926" t="s">
        <v>26</v>
      </c>
      <c r="E926" t="s">
        <v>12</v>
      </c>
      <c r="F926" t="s">
        <v>34</v>
      </c>
      <c r="G926">
        <v>3</v>
      </c>
      <c r="H926">
        <v>1274</v>
      </c>
      <c r="I926" t="str">
        <f>VLOOKUP(D926,Product_Master!A:D,2,FALSE)</f>
        <v>Laptop</v>
      </c>
      <c r="J926" t="str">
        <f>VLOOKUP(D926,Product_Master!A:D,3,FALSE)</f>
        <v>Electronics</v>
      </c>
      <c r="K926">
        <f>VLOOKUP(D926,Product_Master!A:D,4,FALSE)</f>
        <v>900</v>
      </c>
      <c r="L926" t="str">
        <f>VLOOKUP(C926,Customer_Master!A:C,2,FALSE)</f>
        <v>Reliance</v>
      </c>
      <c r="M926" t="str">
        <f>VLOOKUP(C926,Customer_Master!A:C,3,FALSE)</f>
        <v>Corporate</v>
      </c>
      <c r="N926">
        <f>Table1[[#This Row],[Quantity]]*Table1[[#This Row],[Unit_Price]]</f>
        <v>3822</v>
      </c>
      <c r="O926">
        <f>(Table1[[#This Row],[Unit_Price]]-Table1[[#This Row],[Cost_Price]])*Table1[[#This Row],[Quantity]]</f>
        <v>1122</v>
      </c>
      <c r="P926">
        <f t="shared" si="14"/>
        <v>3822</v>
      </c>
      <c r="Q926" t="str">
        <f>TEXT(Table1[[#This Row],[Order_Date]],"mmm-yyyy")</f>
        <v>Oct-2024</v>
      </c>
    </row>
    <row r="927" spans="1:17" x14ac:dyDescent="0.35">
      <c r="A927" t="s">
        <v>1297</v>
      </c>
      <c r="B927" t="s">
        <v>921</v>
      </c>
      <c r="C927" t="s">
        <v>42</v>
      </c>
      <c r="D927" t="s">
        <v>16</v>
      </c>
      <c r="E927" t="s">
        <v>33</v>
      </c>
      <c r="F927" t="s">
        <v>13</v>
      </c>
      <c r="G927">
        <v>8</v>
      </c>
      <c r="H927">
        <v>1382</v>
      </c>
      <c r="I927" t="str">
        <f>VLOOKUP(D927,Product_Master!A:D,2,FALSE)</f>
        <v>Printer</v>
      </c>
      <c r="J927" t="str">
        <f>VLOOKUP(D927,Product_Master!A:D,3,FALSE)</f>
        <v>Electronics</v>
      </c>
      <c r="K927">
        <f>VLOOKUP(D927,Product_Master!A:D,4,FALSE)</f>
        <v>1100</v>
      </c>
      <c r="L927" t="str">
        <f>VLOOKUP(C927,Customer_Master!A:C,2,FALSE)</f>
        <v>Ramesh</v>
      </c>
      <c r="M927" t="str">
        <f>VLOOKUP(C927,Customer_Master!A:C,3,FALSE)</f>
        <v>Consumer</v>
      </c>
      <c r="N927">
        <f>Table1[[#This Row],[Quantity]]*Table1[[#This Row],[Unit_Price]]</f>
        <v>11056</v>
      </c>
      <c r="O927">
        <f>(Table1[[#This Row],[Unit_Price]]-Table1[[#This Row],[Cost_Price]])*Table1[[#This Row],[Quantity]]</f>
        <v>2256</v>
      </c>
      <c r="P927">
        <f t="shared" si="14"/>
        <v>11056</v>
      </c>
      <c r="Q927" t="str">
        <f>TEXT(Table1[[#This Row],[Order_Date]],"mmm-yyyy")</f>
        <v>Sep-2024</v>
      </c>
    </row>
    <row r="928" spans="1:17" x14ac:dyDescent="0.35">
      <c r="A928" t="s">
        <v>1298</v>
      </c>
      <c r="B928" t="s">
        <v>770</v>
      </c>
      <c r="C928" t="s">
        <v>45</v>
      </c>
      <c r="D928" t="s">
        <v>26</v>
      </c>
      <c r="E928" t="s">
        <v>33</v>
      </c>
      <c r="F928" t="s">
        <v>13</v>
      </c>
      <c r="G928">
        <v>10</v>
      </c>
      <c r="H928">
        <v>1002</v>
      </c>
      <c r="I928" t="str">
        <f>VLOOKUP(D928,Product_Master!A:D,2,FALSE)</f>
        <v>Laptop</v>
      </c>
      <c r="J928" t="str">
        <f>VLOOKUP(D928,Product_Master!A:D,3,FALSE)</f>
        <v>Electronics</v>
      </c>
      <c r="K928">
        <f>VLOOKUP(D928,Product_Master!A:D,4,FALSE)</f>
        <v>900</v>
      </c>
      <c r="L928" t="str">
        <f>VLOOKUP(C928,Customer_Master!A:C,2,FALSE)</f>
        <v>TCS</v>
      </c>
      <c r="M928" t="str">
        <f>VLOOKUP(C928,Customer_Master!A:C,3,FALSE)</f>
        <v>Corporate</v>
      </c>
      <c r="N928">
        <f>Table1[[#This Row],[Quantity]]*Table1[[#This Row],[Unit_Price]]</f>
        <v>10020</v>
      </c>
      <c r="O928">
        <f>(Table1[[#This Row],[Unit_Price]]-Table1[[#This Row],[Cost_Price]])*Table1[[#This Row],[Quantity]]</f>
        <v>1020</v>
      </c>
      <c r="P928">
        <f t="shared" si="14"/>
        <v>10020</v>
      </c>
      <c r="Q928" t="str">
        <f>TEXT(Table1[[#This Row],[Order_Date]],"mmm-yyyy")</f>
        <v>Mar-2024</v>
      </c>
    </row>
    <row r="929" spans="1:17" x14ac:dyDescent="0.35">
      <c r="A929" t="s">
        <v>1299</v>
      </c>
      <c r="B929" t="s">
        <v>147</v>
      </c>
      <c r="C929" t="s">
        <v>21</v>
      </c>
      <c r="D929" t="s">
        <v>26</v>
      </c>
      <c r="E929" t="s">
        <v>33</v>
      </c>
      <c r="F929" t="s">
        <v>18</v>
      </c>
      <c r="G929">
        <v>3</v>
      </c>
      <c r="H929">
        <v>1614</v>
      </c>
      <c r="I929" t="str">
        <f>VLOOKUP(D929,Product_Master!A:D,2,FALSE)</f>
        <v>Laptop</v>
      </c>
      <c r="J929" t="str">
        <f>VLOOKUP(D929,Product_Master!A:D,3,FALSE)</f>
        <v>Electronics</v>
      </c>
      <c r="K929">
        <f>VLOOKUP(D929,Product_Master!A:D,4,FALSE)</f>
        <v>900</v>
      </c>
      <c r="L929" t="str">
        <f>VLOOKUP(C929,Customer_Master!A:C,2,FALSE)</f>
        <v>Reliance</v>
      </c>
      <c r="M929" t="str">
        <f>VLOOKUP(C929,Customer_Master!A:C,3,FALSE)</f>
        <v>Corporate</v>
      </c>
      <c r="N929">
        <f>Table1[[#This Row],[Quantity]]*Table1[[#This Row],[Unit_Price]]</f>
        <v>4842</v>
      </c>
      <c r="O929">
        <f>(Table1[[#This Row],[Unit_Price]]-Table1[[#This Row],[Cost_Price]])*Table1[[#This Row],[Quantity]]</f>
        <v>2142</v>
      </c>
      <c r="P929">
        <f t="shared" si="14"/>
        <v>4842</v>
      </c>
      <c r="Q929" t="str">
        <f>TEXT(Table1[[#This Row],[Order_Date]],"mmm-yyyy")</f>
        <v>May-2024</v>
      </c>
    </row>
    <row r="930" spans="1:17" x14ac:dyDescent="0.35">
      <c r="A930" t="s">
        <v>1300</v>
      </c>
      <c r="B930" t="s">
        <v>107</v>
      </c>
      <c r="C930" t="s">
        <v>21</v>
      </c>
      <c r="D930" t="s">
        <v>37</v>
      </c>
      <c r="E930" t="s">
        <v>17</v>
      </c>
      <c r="F930" t="s">
        <v>13</v>
      </c>
      <c r="G930">
        <v>5</v>
      </c>
      <c r="H930">
        <v>1020</v>
      </c>
      <c r="I930" t="str">
        <f>VLOOKUP(D930,Product_Master!A:D,2,FALSE)</f>
        <v>Mobile</v>
      </c>
      <c r="J930" t="str">
        <f>VLOOKUP(D930,Product_Master!A:D,3,FALSE)</f>
        <v>Electronics</v>
      </c>
      <c r="K930">
        <f>VLOOKUP(D930,Product_Master!A:D,4,FALSE)</f>
        <v>600</v>
      </c>
      <c r="L930" t="str">
        <f>VLOOKUP(C930,Customer_Master!A:C,2,FALSE)</f>
        <v>Reliance</v>
      </c>
      <c r="M930" t="str">
        <f>VLOOKUP(C930,Customer_Master!A:C,3,FALSE)</f>
        <v>Corporate</v>
      </c>
      <c r="N930">
        <f>Table1[[#This Row],[Quantity]]*Table1[[#This Row],[Unit_Price]]</f>
        <v>5100</v>
      </c>
      <c r="O930">
        <f>(Table1[[#This Row],[Unit_Price]]-Table1[[#This Row],[Cost_Price]])*Table1[[#This Row],[Quantity]]</f>
        <v>2100</v>
      </c>
      <c r="P930">
        <f t="shared" si="14"/>
        <v>5100</v>
      </c>
      <c r="Q930" t="str">
        <f>TEXT(Table1[[#This Row],[Order_Date]],"mmm-yyyy")</f>
        <v>Jul-2024</v>
      </c>
    </row>
    <row r="931" spans="1:17" x14ac:dyDescent="0.35">
      <c r="A931" t="s">
        <v>1301</v>
      </c>
      <c r="B931" t="s">
        <v>900</v>
      </c>
      <c r="C931" t="s">
        <v>42</v>
      </c>
      <c r="D931" t="s">
        <v>11</v>
      </c>
      <c r="E931" t="s">
        <v>12</v>
      </c>
      <c r="F931" t="s">
        <v>23</v>
      </c>
      <c r="G931">
        <v>8</v>
      </c>
      <c r="H931">
        <v>1338</v>
      </c>
      <c r="I931" t="str">
        <f>VLOOKUP(D931,Product_Master!A:D,2,FALSE)</f>
        <v>Chair</v>
      </c>
      <c r="J931" t="str">
        <f>VLOOKUP(D931,Product_Master!A:D,3,FALSE)</f>
        <v>Furniture</v>
      </c>
      <c r="K931">
        <f>VLOOKUP(D931,Product_Master!A:D,4,FALSE)</f>
        <v>150</v>
      </c>
      <c r="L931" t="str">
        <f>VLOOKUP(C931,Customer_Master!A:C,2,FALSE)</f>
        <v>Ramesh</v>
      </c>
      <c r="M931" t="str">
        <f>VLOOKUP(C931,Customer_Master!A:C,3,FALSE)</f>
        <v>Consumer</v>
      </c>
      <c r="N931">
        <f>Table1[[#This Row],[Quantity]]*Table1[[#This Row],[Unit_Price]]</f>
        <v>10704</v>
      </c>
      <c r="O931">
        <f>(Table1[[#This Row],[Unit_Price]]-Table1[[#This Row],[Cost_Price]])*Table1[[#This Row],[Quantity]]</f>
        <v>9504</v>
      </c>
      <c r="P931">
        <f t="shared" si="14"/>
        <v>10704</v>
      </c>
      <c r="Q931" t="str">
        <f>TEXT(Table1[[#This Row],[Order_Date]],"mmm-yyyy")</f>
        <v>Feb-2024</v>
      </c>
    </row>
    <row r="932" spans="1:17" x14ac:dyDescent="0.35">
      <c r="A932" t="s">
        <v>1302</v>
      </c>
      <c r="B932" t="s">
        <v>926</v>
      </c>
      <c r="C932" t="s">
        <v>21</v>
      </c>
      <c r="D932" t="s">
        <v>22</v>
      </c>
      <c r="E932" t="s">
        <v>17</v>
      </c>
      <c r="F932" t="s">
        <v>18</v>
      </c>
      <c r="G932">
        <v>9</v>
      </c>
      <c r="H932">
        <v>838</v>
      </c>
      <c r="I932" t="str">
        <f>VLOOKUP(D932,Product_Master!A:D,2,FALSE)</f>
        <v>Desk</v>
      </c>
      <c r="J932" t="str">
        <f>VLOOKUP(D932,Product_Master!A:D,3,FALSE)</f>
        <v>Furniture</v>
      </c>
      <c r="K932">
        <f>VLOOKUP(D932,Product_Master!A:D,4,FALSE)</f>
        <v>300</v>
      </c>
      <c r="L932" t="str">
        <f>VLOOKUP(C932,Customer_Master!A:C,2,FALSE)</f>
        <v>Reliance</v>
      </c>
      <c r="M932" t="str">
        <f>VLOOKUP(C932,Customer_Master!A:C,3,FALSE)</f>
        <v>Corporate</v>
      </c>
      <c r="N932">
        <f>Table1[[#This Row],[Quantity]]*Table1[[#This Row],[Unit_Price]]</f>
        <v>7542</v>
      </c>
      <c r="O932">
        <f>(Table1[[#This Row],[Unit_Price]]-Table1[[#This Row],[Cost_Price]])*Table1[[#This Row],[Quantity]]</f>
        <v>4842</v>
      </c>
      <c r="P932">
        <f t="shared" si="14"/>
        <v>7542</v>
      </c>
      <c r="Q932" t="str">
        <f>TEXT(Table1[[#This Row],[Order_Date]],"mmm-yyyy")</f>
        <v>Apr-2024</v>
      </c>
    </row>
    <row r="933" spans="1:17" x14ac:dyDescent="0.35">
      <c r="A933" t="s">
        <v>1303</v>
      </c>
      <c r="B933" t="s">
        <v>361</v>
      </c>
      <c r="C933" t="s">
        <v>42</v>
      </c>
      <c r="D933" t="s">
        <v>26</v>
      </c>
      <c r="E933" t="s">
        <v>17</v>
      </c>
      <c r="F933" t="s">
        <v>23</v>
      </c>
      <c r="G933">
        <v>2</v>
      </c>
      <c r="H933">
        <v>1408</v>
      </c>
      <c r="I933" t="str">
        <f>VLOOKUP(D933,Product_Master!A:D,2,FALSE)</f>
        <v>Laptop</v>
      </c>
      <c r="J933" t="str">
        <f>VLOOKUP(D933,Product_Master!A:D,3,FALSE)</f>
        <v>Electronics</v>
      </c>
      <c r="K933">
        <f>VLOOKUP(D933,Product_Master!A:D,4,FALSE)</f>
        <v>900</v>
      </c>
      <c r="L933" t="str">
        <f>VLOOKUP(C933,Customer_Master!A:C,2,FALSE)</f>
        <v>Ramesh</v>
      </c>
      <c r="M933" t="str">
        <f>VLOOKUP(C933,Customer_Master!A:C,3,FALSE)</f>
        <v>Consumer</v>
      </c>
      <c r="N933">
        <f>Table1[[#This Row],[Quantity]]*Table1[[#This Row],[Unit_Price]]</f>
        <v>2816</v>
      </c>
      <c r="O933">
        <f>(Table1[[#This Row],[Unit_Price]]-Table1[[#This Row],[Cost_Price]])*Table1[[#This Row],[Quantity]]</f>
        <v>1016</v>
      </c>
      <c r="P933">
        <f t="shared" si="14"/>
        <v>2816</v>
      </c>
      <c r="Q933" t="str">
        <f>TEXT(Table1[[#This Row],[Order_Date]],"mmm-yyyy")</f>
        <v>Aug-2024</v>
      </c>
    </row>
    <row r="934" spans="1:17" x14ac:dyDescent="0.35">
      <c r="A934" t="s">
        <v>1304</v>
      </c>
      <c r="B934" t="s">
        <v>384</v>
      </c>
      <c r="C934" t="s">
        <v>42</v>
      </c>
      <c r="D934" t="s">
        <v>11</v>
      </c>
      <c r="E934" t="s">
        <v>33</v>
      </c>
      <c r="F934" t="s">
        <v>18</v>
      </c>
      <c r="G934">
        <v>7</v>
      </c>
      <c r="H934">
        <v>1710</v>
      </c>
      <c r="I934" t="str">
        <f>VLOOKUP(D934,Product_Master!A:D,2,FALSE)</f>
        <v>Chair</v>
      </c>
      <c r="J934" t="str">
        <f>VLOOKUP(D934,Product_Master!A:D,3,FALSE)</f>
        <v>Furniture</v>
      </c>
      <c r="K934">
        <f>VLOOKUP(D934,Product_Master!A:D,4,FALSE)</f>
        <v>150</v>
      </c>
      <c r="L934" t="str">
        <f>VLOOKUP(C934,Customer_Master!A:C,2,FALSE)</f>
        <v>Ramesh</v>
      </c>
      <c r="M934" t="str">
        <f>VLOOKUP(C934,Customer_Master!A:C,3,FALSE)</f>
        <v>Consumer</v>
      </c>
      <c r="N934">
        <f>Table1[[#This Row],[Quantity]]*Table1[[#This Row],[Unit_Price]]</f>
        <v>11970</v>
      </c>
      <c r="O934">
        <f>(Table1[[#This Row],[Unit_Price]]-Table1[[#This Row],[Cost_Price]])*Table1[[#This Row],[Quantity]]</f>
        <v>10920</v>
      </c>
      <c r="P934">
        <f t="shared" si="14"/>
        <v>11970</v>
      </c>
      <c r="Q934" t="str">
        <f>TEXT(Table1[[#This Row],[Order_Date]],"mmm-yyyy")</f>
        <v>Jan-2024</v>
      </c>
    </row>
    <row r="935" spans="1:17" x14ac:dyDescent="0.35">
      <c r="A935" t="s">
        <v>1305</v>
      </c>
      <c r="B935" t="s">
        <v>292</v>
      </c>
      <c r="C935" t="s">
        <v>10</v>
      </c>
      <c r="D935" t="s">
        <v>11</v>
      </c>
      <c r="E935" t="s">
        <v>27</v>
      </c>
      <c r="F935" t="s">
        <v>34</v>
      </c>
      <c r="G935">
        <v>1</v>
      </c>
      <c r="H935">
        <v>1646</v>
      </c>
      <c r="I935" t="str">
        <f>VLOOKUP(D935,Product_Master!A:D,2,FALSE)</f>
        <v>Chair</v>
      </c>
      <c r="J935" t="str">
        <f>VLOOKUP(D935,Product_Master!A:D,3,FALSE)</f>
        <v>Furniture</v>
      </c>
      <c r="K935">
        <f>VLOOKUP(D935,Product_Master!A:D,4,FALSE)</f>
        <v>150</v>
      </c>
      <c r="L935" t="str">
        <f>VLOOKUP(C935,Customer_Master!A:C,2,FALSE)</f>
        <v>Suresh</v>
      </c>
      <c r="M935" t="str">
        <f>VLOOKUP(C935,Customer_Master!A:C,3,FALSE)</f>
        <v>Consumer</v>
      </c>
      <c r="N935">
        <f>Table1[[#This Row],[Quantity]]*Table1[[#This Row],[Unit_Price]]</f>
        <v>1646</v>
      </c>
      <c r="O935">
        <f>(Table1[[#This Row],[Unit_Price]]-Table1[[#This Row],[Cost_Price]])*Table1[[#This Row],[Quantity]]</f>
        <v>1496</v>
      </c>
      <c r="P935">
        <f t="shared" si="14"/>
        <v>1646</v>
      </c>
      <c r="Q935" t="str">
        <f>TEXT(Table1[[#This Row],[Order_Date]],"mmm-yyyy")</f>
        <v>Oct-2024</v>
      </c>
    </row>
    <row r="936" spans="1:17" x14ac:dyDescent="0.35">
      <c r="A936" t="s">
        <v>1306</v>
      </c>
      <c r="B936" t="s">
        <v>1307</v>
      </c>
      <c r="C936" t="s">
        <v>21</v>
      </c>
      <c r="D936" t="s">
        <v>16</v>
      </c>
      <c r="E936" t="s">
        <v>27</v>
      </c>
      <c r="F936" t="s">
        <v>23</v>
      </c>
      <c r="G936">
        <v>8</v>
      </c>
      <c r="H936">
        <v>1131</v>
      </c>
      <c r="I936" t="str">
        <f>VLOOKUP(D936,Product_Master!A:D,2,FALSE)</f>
        <v>Printer</v>
      </c>
      <c r="J936" t="str">
        <f>VLOOKUP(D936,Product_Master!A:D,3,FALSE)</f>
        <v>Electronics</v>
      </c>
      <c r="K936">
        <f>VLOOKUP(D936,Product_Master!A:D,4,FALSE)</f>
        <v>1100</v>
      </c>
      <c r="L936" t="str">
        <f>VLOOKUP(C936,Customer_Master!A:C,2,FALSE)</f>
        <v>Reliance</v>
      </c>
      <c r="M936" t="str">
        <f>VLOOKUP(C936,Customer_Master!A:C,3,FALSE)</f>
        <v>Corporate</v>
      </c>
      <c r="N936">
        <f>Table1[[#This Row],[Quantity]]*Table1[[#This Row],[Unit_Price]]</f>
        <v>9048</v>
      </c>
      <c r="O936">
        <f>(Table1[[#This Row],[Unit_Price]]-Table1[[#This Row],[Cost_Price]])*Table1[[#This Row],[Quantity]]</f>
        <v>248</v>
      </c>
      <c r="P936">
        <f t="shared" si="14"/>
        <v>9048</v>
      </c>
      <c r="Q936" t="str">
        <f>TEXT(Table1[[#This Row],[Order_Date]],"mmm-yyyy")</f>
        <v>May-2024</v>
      </c>
    </row>
    <row r="937" spans="1:17" x14ac:dyDescent="0.35">
      <c r="A937" t="s">
        <v>1308</v>
      </c>
      <c r="B937" t="s">
        <v>384</v>
      </c>
      <c r="C937" t="s">
        <v>42</v>
      </c>
      <c r="D937" t="s">
        <v>37</v>
      </c>
      <c r="E937" t="s">
        <v>33</v>
      </c>
      <c r="F937" t="s">
        <v>18</v>
      </c>
      <c r="G937">
        <v>6</v>
      </c>
      <c r="H937">
        <v>1269</v>
      </c>
      <c r="I937" t="str">
        <f>VLOOKUP(D937,Product_Master!A:D,2,FALSE)</f>
        <v>Mobile</v>
      </c>
      <c r="J937" t="str">
        <f>VLOOKUP(D937,Product_Master!A:D,3,FALSE)</f>
        <v>Electronics</v>
      </c>
      <c r="K937">
        <f>VLOOKUP(D937,Product_Master!A:D,4,FALSE)</f>
        <v>600</v>
      </c>
      <c r="L937" t="str">
        <f>VLOOKUP(C937,Customer_Master!A:C,2,FALSE)</f>
        <v>Ramesh</v>
      </c>
      <c r="M937" t="str">
        <f>VLOOKUP(C937,Customer_Master!A:C,3,FALSE)</f>
        <v>Consumer</v>
      </c>
      <c r="N937">
        <f>Table1[[#This Row],[Quantity]]*Table1[[#This Row],[Unit_Price]]</f>
        <v>7614</v>
      </c>
      <c r="O937">
        <f>(Table1[[#This Row],[Unit_Price]]-Table1[[#This Row],[Cost_Price]])*Table1[[#This Row],[Quantity]]</f>
        <v>4014</v>
      </c>
      <c r="P937">
        <f t="shared" si="14"/>
        <v>7614</v>
      </c>
      <c r="Q937" t="str">
        <f>TEXT(Table1[[#This Row],[Order_Date]],"mmm-yyyy")</f>
        <v>Jan-2024</v>
      </c>
    </row>
    <row r="938" spans="1:17" x14ac:dyDescent="0.35">
      <c r="A938" t="s">
        <v>1309</v>
      </c>
      <c r="B938" t="s">
        <v>1279</v>
      </c>
      <c r="C938" t="s">
        <v>21</v>
      </c>
      <c r="D938" t="s">
        <v>26</v>
      </c>
      <c r="E938" t="s">
        <v>33</v>
      </c>
      <c r="F938" t="s">
        <v>34</v>
      </c>
      <c r="G938">
        <v>10</v>
      </c>
      <c r="H938">
        <v>1869</v>
      </c>
      <c r="I938" t="str">
        <f>VLOOKUP(D938,Product_Master!A:D,2,FALSE)</f>
        <v>Laptop</v>
      </c>
      <c r="J938" t="str">
        <f>VLOOKUP(D938,Product_Master!A:D,3,FALSE)</f>
        <v>Electronics</v>
      </c>
      <c r="K938">
        <f>VLOOKUP(D938,Product_Master!A:D,4,FALSE)</f>
        <v>900</v>
      </c>
      <c r="L938" t="str">
        <f>VLOOKUP(C938,Customer_Master!A:C,2,FALSE)</f>
        <v>Reliance</v>
      </c>
      <c r="M938" t="str">
        <f>VLOOKUP(C938,Customer_Master!A:C,3,FALSE)</f>
        <v>Corporate</v>
      </c>
      <c r="N938">
        <f>Table1[[#This Row],[Quantity]]*Table1[[#This Row],[Unit_Price]]</f>
        <v>18690</v>
      </c>
      <c r="O938">
        <f>(Table1[[#This Row],[Unit_Price]]-Table1[[#This Row],[Cost_Price]])*Table1[[#This Row],[Quantity]]</f>
        <v>9690</v>
      </c>
      <c r="P938">
        <f t="shared" si="14"/>
        <v>18690</v>
      </c>
      <c r="Q938" t="str">
        <f>TEXT(Table1[[#This Row],[Order_Date]],"mmm-yyyy")</f>
        <v>Nov-2024</v>
      </c>
    </row>
    <row r="939" spans="1:17" x14ac:dyDescent="0.35">
      <c r="A939" t="s">
        <v>1310</v>
      </c>
      <c r="B939" t="s">
        <v>92</v>
      </c>
      <c r="C939" t="s">
        <v>42</v>
      </c>
      <c r="D939" t="s">
        <v>26</v>
      </c>
      <c r="E939" t="s">
        <v>33</v>
      </c>
      <c r="F939" t="s">
        <v>23</v>
      </c>
      <c r="G939">
        <v>10</v>
      </c>
      <c r="H939">
        <v>1106</v>
      </c>
      <c r="I939" t="str">
        <f>VLOOKUP(D939,Product_Master!A:D,2,FALSE)</f>
        <v>Laptop</v>
      </c>
      <c r="J939" t="str">
        <f>VLOOKUP(D939,Product_Master!A:D,3,FALSE)</f>
        <v>Electronics</v>
      </c>
      <c r="K939">
        <f>VLOOKUP(D939,Product_Master!A:D,4,FALSE)</f>
        <v>900</v>
      </c>
      <c r="L939" t="str">
        <f>VLOOKUP(C939,Customer_Master!A:C,2,FALSE)</f>
        <v>Ramesh</v>
      </c>
      <c r="M939" t="str">
        <f>VLOOKUP(C939,Customer_Master!A:C,3,FALSE)</f>
        <v>Consumer</v>
      </c>
      <c r="N939">
        <f>Table1[[#This Row],[Quantity]]*Table1[[#This Row],[Unit_Price]]</f>
        <v>11060</v>
      </c>
      <c r="O939">
        <f>(Table1[[#This Row],[Unit_Price]]-Table1[[#This Row],[Cost_Price]])*Table1[[#This Row],[Quantity]]</f>
        <v>2060</v>
      </c>
      <c r="P939">
        <f t="shared" si="14"/>
        <v>11060</v>
      </c>
      <c r="Q939" t="str">
        <f>TEXT(Table1[[#This Row],[Order_Date]],"mmm-yyyy")</f>
        <v>Oct-2024</v>
      </c>
    </row>
    <row r="940" spans="1:17" x14ac:dyDescent="0.35">
      <c r="A940" t="s">
        <v>1311</v>
      </c>
      <c r="B940" t="s">
        <v>690</v>
      </c>
      <c r="C940" t="s">
        <v>21</v>
      </c>
      <c r="D940" t="s">
        <v>37</v>
      </c>
      <c r="E940" t="s">
        <v>17</v>
      </c>
      <c r="F940" t="s">
        <v>18</v>
      </c>
      <c r="G940">
        <v>5</v>
      </c>
      <c r="H940">
        <v>1723</v>
      </c>
      <c r="I940" t="str">
        <f>VLOOKUP(D940,Product_Master!A:D,2,FALSE)</f>
        <v>Mobile</v>
      </c>
      <c r="J940" t="str">
        <f>VLOOKUP(D940,Product_Master!A:D,3,FALSE)</f>
        <v>Electronics</v>
      </c>
      <c r="K940">
        <f>VLOOKUP(D940,Product_Master!A:D,4,FALSE)</f>
        <v>600</v>
      </c>
      <c r="L940" t="str">
        <f>VLOOKUP(C940,Customer_Master!A:C,2,FALSE)</f>
        <v>Reliance</v>
      </c>
      <c r="M940" t="str">
        <f>VLOOKUP(C940,Customer_Master!A:C,3,FALSE)</f>
        <v>Corporate</v>
      </c>
      <c r="N940">
        <f>Table1[[#This Row],[Quantity]]*Table1[[#This Row],[Unit_Price]]</f>
        <v>8615</v>
      </c>
      <c r="O940">
        <f>(Table1[[#This Row],[Unit_Price]]-Table1[[#This Row],[Cost_Price]])*Table1[[#This Row],[Quantity]]</f>
        <v>5615</v>
      </c>
      <c r="P940">
        <f t="shared" si="14"/>
        <v>8615</v>
      </c>
      <c r="Q940" t="str">
        <f>TEXT(Table1[[#This Row],[Order_Date]],"mmm-yyyy")</f>
        <v>Oct-2024</v>
      </c>
    </row>
    <row r="941" spans="1:17" x14ac:dyDescent="0.35">
      <c r="A941" t="s">
        <v>1312</v>
      </c>
      <c r="B941" t="s">
        <v>421</v>
      </c>
      <c r="C941" t="s">
        <v>45</v>
      </c>
      <c r="D941" t="s">
        <v>11</v>
      </c>
      <c r="E941" t="s">
        <v>17</v>
      </c>
      <c r="F941" t="s">
        <v>23</v>
      </c>
      <c r="G941">
        <v>10</v>
      </c>
      <c r="H941">
        <v>1019</v>
      </c>
      <c r="I941" t="str">
        <f>VLOOKUP(D941,Product_Master!A:D,2,FALSE)</f>
        <v>Chair</v>
      </c>
      <c r="J941" t="str">
        <f>VLOOKUP(D941,Product_Master!A:D,3,FALSE)</f>
        <v>Furniture</v>
      </c>
      <c r="K941">
        <f>VLOOKUP(D941,Product_Master!A:D,4,FALSE)</f>
        <v>150</v>
      </c>
      <c r="L941" t="str">
        <f>VLOOKUP(C941,Customer_Master!A:C,2,FALSE)</f>
        <v>TCS</v>
      </c>
      <c r="M941" t="str">
        <f>VLOOKUP(C941,Customer_Master!A:C,3,FALSE)</f>
        <v>Corporate</v>
      </c>
      <c r="N941">
        <f>Table1[[#This Row],[Quantity]]*Table1[[#This Row],[Unit_Price]]</f>
        <v>10190</v>
      </c>
      <c r="O941">
        <f>(Table1[[#This Row],[Unit_Price]]-Table1[[#This Row],[Cost_Price]])*Table1[[#This Row],[Quantity]]</f>
        <v>8690</v>
      </c>
      <c r="P941">
        <f t="shared" si="14"/>
        <v>10190</v>
      </c>
      <c r="Q941" t="str">
        <f>TEXT(Table1[[#This Row],[Order_Date]],"mmm-yyyy")</f>
        <v>Jul-2024</v>
      </c>
    </row>
    <row r="942" spans="1:17" x14ac:dyDescent="0.35">
      <c r="A942" t="s">
        <v>1313</v>
      </c>
      <c r="B942" t="s">
        <v>932</v>
      </c>
      <c r="C942" t="s">
        <v>45</v>
      </c>
      <c r="D942" t="s">
        <v>37</v>
      </c>
      <c r="E942" t="s">
        <v>12</v>
      </c>
      <c r="F942" t="s">
        <v>23</v>
      </c>
      <c r="G942">
        <v>7</v>
      </c>
      <c r="H942">
        <v>1657</v>
      </c>
      <c r="I942" t="str">
        <f>VLOOKUP(D942,Product_Master!A:D,2,FALSE)</f>
        <v>Mobile</v>
      </c>
      <c r="J942" t="str">
        <f>VLOOKUP(D942,Product_Master!A:D,3,FALSE)</f>
        <v>Electronics</v>
      </c>
      <c r="K942">
        <f>VLOOKUP(D942,Product_Master!A:D,4,FALSE)</f>
        <v>600</v>
      </c>
      <c r="L942" t="str">
        <f>VLOOKUP(C942,Customer_Master!A:C,2,FALSE)</f>
        <v>TCS</v>
      </c>
      <c r="M942" t="str">
        <f>VLOOKUP(C942,Customer_Master!A:C,3,FALSE)</f>
        <v>Corporate</v>
      </c>
      <c r="N942">
        <f>Table1[[#This Row],[Quantity]]*Table1[[#This Row],[Unit_Price]]</f>
        <v>11599</v>
      </c>
      <c r="O942">
        <f>(Table1[[#This Row],[Unit_Price]]-Table1[[#This Row],[Cost_Price]])*Table1[[#This Row],[Quantity]]</f>
        <v>7399</v>
      </c>
      <c r="P942">
        <f t="shared" si="14"/>
        <v>11599</v>
      </c>
      <c r="Q942" t="str">
        <f>TEXT(Table1[[#This Row],[Order_Date]],"mmm-yyyy")</f>
        <v>Jan-2024</v>
      </c>
    </row>
    <row r="943" spans="1:17" x14ac:dyDescent="0.35">
      <c r="A943" t="s">
        <v>1314</v>
      </c>
      <c r="B943" t="s">
        <v>323</v>
      </c>
      <c r="C943" t="s">
        <v>45</v>
      </c>
      <c r="D943" t="s">
        <v>22</v>
      </c>
      <c r="E943" t="s">
        <v>17</v>
      </c>
      <c r="F943" t="s">
        <v>13</v>
      </c>
      <c r="G943">
        <v>10</v>
      </c>
      <c r="H943">
        <v>1217</v>
      </c>
      <c r="I943" t="str">
        <f>VLOOKUP(D943,Product_Master!A:D,2,FALSE)</f>
        <v>Desk</v>
      </c>
      <c r="J943" t="str">
        <f>VLOOKUP(D943,Product_Master!A:D,3,FALSE)</f>
        <v>Furniture</v>
      </c>
      <c r="K943">
        <f>VLOOKUP(D943,Product_Master!A:D,4,FALSE)</f>
        <v>300</v>
      </c>
      <c r="L943" t="str">
        <f>VLOOKUP(C943,Customer_Master!A:C,2,FALSE)</f>
        <v>TCS</v>
      </c>
      <c r="M943" t="str">
        <f>VLOOKUP(C943,Customer_Master!A:C,3,FALSE)</f>
        <v>Corporate</v>
      </c>
      <c r="N943">
        <f>Table1[[#This Row],[Quantity]]*Table1[[#This Row],[Unit_Price]]</f>
        <v>12170</v>
      </c>
      <c r="O943">
        <f>(Table1[[#This Row],[Unit_Price]]-Table1[[#This Row],[Cost_Price]])*Table1[[#This Row],[Quantity]]</f>
        <v>9170</v>
      </c>
      <c r="P943">
        <f t="shared" si="14"/>
        <v>12170</v>
      </c>
      <c r="Q943" t="str">
        <f>TEXT(Table1[[#This Row],[Order_Date]],"mmm-yyyy")</f>
        <v>Jun-2024</v>
      </c>
    </row>
    <row r="944" spans="1:17" x14ac:dyDescent="0.35">
      <c r="A944" t="s">
        <v>1315</v>
      </c>
      <c r="B944" t="s">
        <v>92</v>
      </c>
      <c r="C944" t="s">
        <v>45</v>
      </c>
      <c r="D944" t="s">
        <v>26</v>
      </c>
      <c r="E944" t="s">
        <v>12</v>
      </c>
      <c r="F944" t="s">
        <v>34</v>
      </c>
      <c r="G944">
        <v>2</v>
      </c>
      <c r="H944">
        <v>1333</v>
      </c>
      <c r="I944" t="str">
        <f>VLOOKUP(D944,Product_Master!A:D,2,FALSE)</f>
        <v>Laptop</v>
      </c>
      <c r="J944" t="str">
        <f>VLOOKUP(D944,Product_Master!A:D,3,FALSE)</f>
        <v>Electronics</v>
      </c>
      <c r="K944">
        <f>VLOOKUP(D944,Product_Master!A:D,4,FALSE)</f>
        <v>900</v>
      </c>
      <c r="L944" t="str">
        <f>VLOOKUP(C944,Customer_Master!A:C,2,FALSE)</f>
        <v>TCS</v>
      </c>
      <c r="M944" t="str">
        <f>VLOOKUP(C944,Customer_Master!A:C,3,FALSE)</f>
        <v>Corporate</v>
      </c>
      <c r="N944">
        <f>Table1[[#This Row],[Quantity]]*Table1[[#This Row],[Unit_Price]]</f>
        <v>2666</v>
      </c>
      <c r="O944">
        <f>(Table1[[#This Row],[Unit_Price]]-Table1[[#This Row],[Cost_Price]])*Table1[[#This Row],[Quantity]]</f>
        <v>866</v>
      </c>
      <c r="P944">
        <f t="shared" si="14"/>
        <v>2666</v>
      </c>
      <c r="Q944" t="str">
        <f>TEXT(Table1[[#This Row],[Order_Date]],"mmm-yyyy")</f>
        <v>Oct-2024</v>
      </c>
    </row>
    <row r="945" spans="1:17" x14ac:dyDescent="0.35">
      <c r="A945" t="s">
        <v>1316</v>
      </c>
      <c r="B945" t="s">
        <v>423</v>
      </c>
      <c r="C945" t="s">
        <v>42</v>
      </c>
      <c r="D945" t="s">
        <v>37</v>
      </c>
      <c r="E945" t="s">
        <v>12</v>
      </c>
      <c r="F945" t="s">
        <v>18</v>
      </c>
      <c r="G945">
        <v>7</v>
      </c>
      <c r="H945">
        <v>1054</v>
      </c>
      <c r="I945" t="str">
        <f>VLOOKUP(D945,Product_Master!A:D,2,FALSE)</f>
        <v>Mobile</v>
      </c>
      <c r="J945" t="str">
        <f>VLOOKUP(D945,Product_Master!A:D,3,FALSE)</f>
        <v>Electronics</v>
      </c>
      <c r="K945">
        <f>VLOOKUP(D945,Product_Master!A:D,4,FALSE)</f>
        <v>600</v>
      </c>
      <c r="L945" t="str">
        <f>VLOOKUP(C945,Customer_Master!A:C,2,FALSE)</f>
        <v>Ramesh</v>
      </c>
      <c r="M945" t="str">
        <f>VLOOKUP(C945,Customer_Master!A:C,3,FALSE)</f>
        <v>Consumer</v>
      </c>
      <c r="N945">
        <f>Table1[[#This Row],[Quantity]]*Table1[[#This Row],[Unit_Price]]</f>
        <v>7378</v>
      </c>
      <c r="O945">
        <f>(Table1[[#This Row],[Unit_Price]]-Table1[[#This Row],[Cost_Price]])*Table1[[#This Row],[Quantity]]</f>
        <v>3178</v>
      </c>
      <c r="P945">
        <f t="shared" si="14"/>
        <v>7378</v>
      </c>
      <c r="Q945" t="str">
        <f>TEXT(Table1[[#This Row],[Order_Date]],"mmm-yyyy")</f>
        <v>Nov-2024</v>
      </c>
    </row>
    <row r="946" spans="1:17" x14ac:dyDescent="0.35">
      <c r="A946" t="s">
        <v>1317</v>
      </c>
      <c r="B946" t="s">
        <v>958</v>
      </c>
      <c r="C946" t="s">
        <v>10</v>
      </c>
      <c r="D946" t="s">
        <v>26</v>
      </c>
      <c r="E946" t="s">
        <v>27</v>
      </c>
      <c r="F946" t="s">
        <v>18</v>
      </c>
      <c r="G946">
        <v>7</v>
      </c>
      <c r="H946">
        <v>1852</v>
      </c>
      <c r="I946" t="str">
        <f>VLOOKUP(D946,Product_Master!A:D,2,FALSE)</f>
        <v>Laptop</v>
      </c>
      <c r="J946" t="str">
        <f>VLOOKUP(D946,Product_Master!A:D,3,FALSE)</f>
        <v>Electronics</v>
      </c>
      <c r="K946">
        <f>VLOOKUP(D946,Product_Master!A:D,4,FALSE)</f>
        <v>900</v>
      </c>
      <c r="L946" t="str">
        <f>VLOOKUP(C946,Customer_Master!A:C,2,FALSE)</f>
        <v>Suresh</v>
      </c>
      <c r="M946" t="str">
        <f>VLOOKUP(C946,Customer_Master!A:C,3,FALSE)</f>
        <v>Consumer</v>
      </c>
      <c r="N946">
        <f>Table1[[#This Row],[Quantity]]*Table1[[#This Row],[Unit_Price]]</f>
        <v>12964</v>
      </c>
      <c r="O946">
        <f>(Table1[[#This Row],[Unit_Price]]-Table1[[#This Row],[Cost_Price]])*Table1[[#This Row],[Quantity]]</f>
        <v>6664</v>
      </c>
      <c r="P946">
        <f t="shared" si="14"/>
        <v>12964</v>
      </c>
      <c r="Q946" t="str">
        <f>TEXT(Table1[[#This Row],[Order_Date]],"mmm-yyyy")</f>
        <v>Sep-2024</v>
      </c>
    </row>
    <row r="947" spans="1:17" x14ac:dyDescent="0.35">
      <c r="A947" t="s">
        <v>1318</v>
      </c>
      <c r="B947" t="s">
        <v>582</v>
      </c>
      <c r="C947" t="s">
        <v>30</v>
      </c>
      <c r="D947" t="s">
        <v>16</v>
      </c>
      <c r="E947" t="s">
        <v>17</v>
      </c>
      <c r="F947" t="s">
        <v>13</v>
      </c>
      <c r="G947">
        <v>4</v>
      </c>
      <c r="H947">
        <v>1330</v>
      </c>
      <c r="I947" t="str">
        <f>VLOOKUP(D947,Product_Master!A:D,2,FALSE)</f>
        <v>Printer</v>
      </c>
      <c r="J947" t="str">
        <f>VLOOKUP(D947,Product_Master!A:D,3,FALSE)</f>
        <v>Electronics</v>
      </c>
      <c r="K947">
        <f>VLOOKUP(D947,Product_Master!A:D,4,FALSE)</f>
        <v>1100</v>
      </c>
      <c r="L947" t="str">
        <f>VLOOKUP(C947,Customer_Master!A:C,2,FALSE)</f>
        <v>Infosys</v>
      </c>
      <c r="M947" t="str">
        <f>VLOOKUP(C947,Customer_Master!A:C,3,FALSE)</f>
        <v>Corporate</v>
      </c>
      <c r="N947">
        <f>Table1[[#This Row],[Quantity]]*Table1[[#This Row],[Unit_Price]]</f>
        <v>5320</v>
      </c>
      <c r="O947">
        <f>(Table1[[#This Row],[Unit_Price]]-Table1[[#This Row],[Cost_Price]])*Table1[[#This Row],[Quantity]]</f>
        <v>920</v>
      </c>
      <c r="P947">
        <f t="shared" si="14"/>
        <v>5320</v>
      </c>
      <c r="Q947" t="str">
        <f>TEXT(Table1[[#This Row],[Order_Date]],"mmm-yyyy")</f>
        <v>Aug-2024</v>
      </c>
    </row>
    <row r="948" spans="1:17" x14ac:dyDescent="0.35">
      <c r="A948" t="s">
        <v>1319</v>
      </c>
      <c r="B948" t="s">
        <v>397</v>
      </c>
      <c r="C948" t="s">
        <v>10</v>
      </c>
      <c r="D948" t="s">
        <v>26</v>
      </c>
      <c r="E948" t="s">
        <v>12</v>
      </c>
      <c r="F948" t="s">
        <v>18</v>
      </c>
      <c r="G948">
        <v>9</v>
      </c>
      <c r="H948">
        <v>1118</v>
      </c>
      <c r="I948" t="str">
        <f>VLOOKUP(D948,Product_Master!A:D,2,FALSE)</f>
        <v>Laptop</v>
      </c>
      <c r="J948" t="str">
        <f>VLOOKUP(D948,Product_Master!A:D,3,FALSE)</f>
        <v>Electronics</v>
      </c>
      <c r="K948">
        <f>VLOOKUP(D948,Product_Master!A:D,4,FALSE)</f>
        <v>900</v>
      </c>
      <c r="L948" t="str">
        <f>VLOOKUP(C948,Customer_Master!A:C,2,FALSE)</f>
        <v>Suresh</v>
      </c>
      <c r="M948" t="str">
        <f>VLOOKUP(C948,Customer_Master!A:C,3,FALSE)</f>
        <v>Consumer</v>
      </c>
      <c r="N948">
        <f>Table1[[#This Row],[Quantity]]*Table1[[#This Row],[Unit_Price]]</f>
        <v>10062</v>
      </c>
      <c r="O948">
        <f>(Table1[[#This Row],[Unit_Price]]-Table1[[#This Row],[Cost_Price]])*Table1[[#This Row],[Quantity]]</f>
        <v>1962</v>
      </c>
      <c r="P948">
        <f t="shared" si="14"/>
        <v>10062</v>
      </c>
      <c r="Q948" t="str">
        <f>TEXT(Table1[[#This Row],[Order_Date]],"mmm-yyyy")</f>
        <v>Apr-2024</v>
      </c>
    </row>
    <row r="949" spans="1:17" x14ac:dyDescent="0.35">
      <c r="A949" t="s">
        <v>1320</v>
      </c>
      <c r="B949" t="s">
        <v>163</v>
      </c>
      <c r="C949" t="s">
        <v>45</v>
      </c>
      <c r="D949" t="s">
        <v>16</v>
      </c>
      <c r="E949" t="s">
        <v>33</v>
      </c>
      <c r="F949" t="s">
        <v>18</v>
      </c>
      <c r="G949">
        <v>3</v>
      </c>
      <c r="H949">
        <v>1084</v>
      </c>
      <c r="I949" t="str">
        <f>VLOOKUP(D949,Product_Master!A:D,2,FALSE)</f>
        <v>Printer</v>
      </c>
      <c r="J949" t="str">
        <f>VLOOKUP(D949,Product_Master!A:D,3,FALSE)</f>
        <v>Electronics</v>
      </c>
      <c r="K949">
        <f>VLOOKUP(D949,Product_Master!A:D,4,FALSE)</f>
        <v>1100</v>
      </c>
      <c r="L949" t="str">
        <f>VLOOKUP(C949,Customer_Master!A:C,2,FALSE)</f>
        <v>TCS</v>
      </c>
      <c r="M949" t="str">
        <f>VLOOKUP(C949,Customer_Master!A:C,3,FALSE)</f>
        <v>Corporate</v>
      </c>
      <c r="N949">
        <f>Table1[[#This Row],[Quantity]]*Table1[[#This Row],[Unit_Price]]</f>
        <v>3252</v>
      </c>
      <c r="O949">
        <f>(Table1[[#This Row],[Unit_Price]]-Table1[[#This Row],[Cost_Price]])*Table1[[#This Row],[Quantity]]</f>
        <v>-48</v>
      </c>
      <c r="P949">
        <f t="shared" si="14"/>
        <v>3252</v>
      </c>
      <c r="Q949" t="str">
        <f>TEXT(Table1[[#This Row],[Order_Date]],"mmm-yyyy")</f>
        <v>Oct-2024</v>
      </c>
    </row>
    <row r="950" spans="1:17" x14ac:dyDescent="0.35">
      <c r="A950" t="s">
        <v>1321</v>
      </c>
      <c r="B950" t="s">
        <v>292</v>
      </c>
      <c r="C950" t="s">
        <v>42</v>
      </c>
      <c r="D950" t="s">
        <v>22</v>
      </c>
      <c r="E950" t="s">
        <v>17</v>
      </c>
      <c r="F950" t="s">
        <v>34</v>
      </c>
      <c r="G950">
        <v>9</v>
      </c>
      <c r="H950">
        <v>1458</v>
      </c>
      <c r="I950" t="str">
        <f>VLOOKUP(D950,Product_Master!A:D,2,FALSE)</f>
        <v>Desk</v>
      </c>
      <c r="J950" t="str">
        <f>VLOOKUP(D950,Product_Master!A:D,3,FALSE)</f>
        <v>Furniture</v>
      </c>
      <c r="K950">
        <f>VLOOKUP(D950,Product_Master!A:D,4,FALSE)</f>
        <v>300</v>
      </c>
      <c r="L950" t="str">
        <f>VLOOKUP(C950,Customer_Master!A:C,2,FALSE)</f>
        <v>Ramesh</v>
      </c>
      <c r="M950" t="str">
        <f>VLOOKUP(C950,Customer_Master!A:C,3,FALSE)</f>
        <v>Consumer</v>
      </c>
      <c r="N950">
        <f>Table1[[#This Row],[Quantity]]*Table1[[#This Row],[Unit_Price]]</f>
        <v>13122</v>
      </c>
      <c r="O950">
        <f>(Table1[[#This Row],[Unit_Price]]-Table1[[#This Row],[Cost_Price]])*Table1[[#This Row],[Quantity]]</f>
        <v>10422</v>
      </c>
      <c r="P950">
        <f t="shared" si="14"/>
        <v>13122</v>
      </c>
      <c r="Q950" t="str">
        <f>TEXT(Table1[[#This Row],[Order_Date]],"mmm-yyyy")</f>
        <v>Oct-2024</v>
      </c>
    </row>
    <row r="951" spans="1:17" x14ac:dyDescent="0.35">
      <c r="A951" t="s">
        <v>1322</v>
      </c>
      <c r="B951" t="s">
        <v>799</v>
      </c>
      <c r="C951" t="s">
        <v>21</v>
      </c>
      <c r="D951" t="s">
        <v>16</v>
      </c>
      <c r="E951" t="s">
        <v>33</v>
      </c>
      <c r="F951" t="s">
        <v>18</v>
      </c>
      <c r="G951">
        <v>10</v>
      </c>
      <c r="H951">
        <v>1950</v>
      </c>
      <c r="I951" t="str">
        <f>VLOOKUP(D951,Product_Master!A:D,2,FALSE)</f>
        <v>Printer</v>
      </c>
      <c r="J951" t="str">
        <f>VLOOKUP(D951,Product_Master!A:D,3,FALSE)</f>
        <v>Electronics</v>
      </c>
      <c r="K951">
        <f>VLOOKUP(D951,Product_Master!A:D,4,FALSE)</f>
        <v>1100</v>
      </c>
      <c r="L951" t="str">
        <f>VLOOKUP(C951,Customer_Master!A:C,2,FALSE)</f>
        <v>Reliance</v>
      </c>
      <c r="M951" t="str">
        <f>VLOOKUP(C951,Customer_Master!A:C,3,FALSE)</f>
        <v>Corporate</v>
      </c>
      <c r="N951">
        <f>Table1[[#This Row],[Quantity]]*Table1[[#This Row],[Unit_Price]]</f>
        <v>19500</v>
      </c>
      <c r="O951">
        <f>(Table1[[#This Row],[Unit_Price]]-Table1[[#This Row],[Cost_Price]])*Table1[[#This Row],[Quantity]]</f>
        <v>8500</v>
      </c>
      <c r="P951">
        <f t="shared" si="14"/>
        <v>19500</v>
      </c>
      <c r="Q951" t="str">
        <f>TEXT(Table1[[#This Row],[Order_Date]],"mmm-yyyy")</f>
        <v>Mar-2024</v>
      </c>
    </row>
    <row r="952" spans="1:17" x14ac:dyDescent="0.35">
      <c r="A952" t="s">
        <v>1323</v>
      </c>
      <c r="B952" t="s">
        <v>193</v>
      </c>
      <c r="C952" t="s">
        <v>21</v>
      </c>
      <c r="D952" t="s">
        <v>37</v>
      </c>
      <c r="E952" t="s">
        <v>12</v>
      </c>
      <c r="F952" t="s">
        <v>34</v>
      </c>
      <c r="G952">
        <v>7</v>
      </c>
      <c r="H952">
        <v>1679</v>
      </c>
      <c r="I952" t="str">
        <f>VLOOKUP(D952,Product_Master!A:D,2,FALSE)</f>
        <v>Mobile</v>
      </c>
      <c r="J952" t="str">
        <f>VLOOKUP(D952,Product_Master!A:D,3,FALSE)</f>
        <v>Electronics</v>
      </c>
      <c r="K952">
        <f>VLOOKUP(D952,Product_Master!A:D,4,FALSE)</f>
        <v>600</v>
      </c>
      <c r="L952" t="str">
        <f>VLOOKUP(C952,Customer_Master!A:C,2,FALSE)</f>
        <v>Reliance</v>
      </c>
      <c r="M952" t="str">
        <f>VLOOKUP(C952,Customer_Master!A:C,3,FALSE)</f>
        <v>Corporate</v>
      </c>
      <c r="N952">
        <f>Table1[[#This Row],[Quantity]]*Table1[[#This Row],[Unit_Price]]</f>
        <v>11753</v>
      </c>
      <c r="O952">
        <f>(Table1[[#This Row],[Unit_Price]]-Table1[[#This Row],[Cost_Price]])*Table1[[#This Row],[Quantity]]</f>
        <v>7553</v>
      </c>
      <c r="P952">
        <f t="shared" si="14"/>
        <v>11753</v>
      </c>
      <c r="Q952" t="str">
        <f>TEXT(Table1[[#This Row],[Order_Date]],"mmm-yyyy")</f>
        <v>Sep-2024</v>
      </c>
    </row>
    <row r="953" spans="1:17" x14ac:dyDescent="0.35">
      <c r="A953" t="s">
        <v>1324</v>
      </c>
      <c r="B953" t="s">
        <v>589</v>
      </c>
      <c r="C953" t="s">
        <v>30</v>
      </c>
      <c r="D953" t="s">
        <v>22</v>
      </c>
      <c r="E953" t="s">
        <v>12</v>
      </c>
      <c r="F953" t="s">
        <v>18</v>
      </c>
      <c r="G953">
        <v>3</v>
      </c>
      <c r="H953">
        <v>908</v>
      </c>
      <c r="I953" t="str">
        <f>VLOOKUP(D953,Product_Master!A:D,2,FALSE)</f>
        <v>Desk</v>
      </c>
      <c r="J953" t="str">
        <f>VLOOKUP(D953,Product_Master!A:D,3,FALSE)</f>
        <v>Furniture</v>
      </c>
      <c r="K953">
        <f>VLOOKUP(D953,Product_Master!A:D,4,FALSE)</f>
        <v>300</v>
      </c>
      <c r="L953" t="str">
        <f>VLOOKUP(C953,Customer_Master!A:C,2,FALSE)</f>
        <v>Infosys</v>
      </c>
      <c r="M953" t="str">
        <f>VLOOKUP(C953,Customer_Master!A:C,3,FALSE)</f>
        <v>Corporate</v>
      </c>
      <c r="N953">
        <f>Table1[[#This Row],[Quantity]]*Table1[[#This Row],[Unit_Price]]</f>
        <v>2724</v>
      </c>
      <c r="O953">
        <f>(Table1[[#This Row],[Unit_Price]]-Table1[[#This Row],[Cost_Price]])*Table1[[#This Row],[Quantity]]</f>
        <v>1824</v>
      </c>
      <c r="P953">
        <f t="shared" si="14"/>
        <v>2724</v>
      </c>
      <c r="Q953" t="str">
        <f>TEXT(Table1[[#This Row],[Order_Date]],"mmm-yyyy")</f>
        <v>Sep-2024</v>
      </c>
    </row>
    <row r="954" spans="1:17" x14ac:dyDescent="0.35">
      <c r="A954" t="s">
        <v>1325</v>
      </c>
      <c r="B954" t="s">
        <v>995</v>
      </c>
      <c r="C954" t="s">
        <v>45</v>
      </c>
      <c r="D954" t="s">
        <v>37</v>
      </c>
      <c r="E954" t="s">
        <v>27</v>
      </c>
      <c r="F954" t="s">
        <v>23</v>
      </c>
      <c r="G954">
        <v>5</v>
      </c>
      <c r="H954">
        <v>1766</v>
      </c>
      <c r="I954" t="str">
        <f>VLOOKUP(D954,Product_Master!A:D,2,FALSE)</f>
        <v>Mobile</v>
      </c>
      <c r="J954" t="str">
        <f>VLOOKUP(D954,Product_Master!A:D,3,FALSE)</f>
        <v>Electronics</v>
      </c>
      <c r="K954">
        <f>VLOOKUP(D954,Product_Master!A:D,4,FALSE)</f>
        <v>600</v>
      </c>
      <c r="L954" t="str">
        <f>VLOOKUP(C954,Customer_Master!A:C,2,FALSE)</f>
        <v>TCS</v>
      </c>
      <c r="M954" t="str">
        <f>VLOOKUP(C954,Customer_Master!A:C,3,FALSE)</f>
        <v>Corporate</v>
      </c>
      <c r="N954">
        <f>Table1[[#This Row],[Quantity]]*Table1[[#This Row],[Unit_Price]]</f>
        <v>8830</v>
      </c>
      <c r="O954">
        <f>(Table1[[#This Row],[Unit_Price]]-Table1[[#This Row],[Cost_Price]])*Table1[[#This Row],[Quantity]]</f>
        <v>5830</v>
      </c>
      <c r="P954">
        <f t="shared" si="14"/>
        <v>8830</v>
      </c>
      <c r="Q954" t="str">
        <f>TEXT(Table1[[#This Row],[Order_Date]],"mmm-yyyy")</f>
        <v>Mar-2024</v>
      </c>
    </row>
    <row r="955" spans="1:17" x14ac:dyDescent="0.35">
      <c r="A955" t="s">
        <v>1326</v>
      </c>
      <c r="B955" t="s">
        <v>331</v>
      </c>
      <c r="C955" t="s">
        <v>42</v>
      </c>
      <c r="D955" t="s">
        <v>11</v>
      </c>
      <c r="E955" t="s">
        <v>27</v>
      </c>
      <c r="F955" t="s">
        <v>23</v>
      </c>
      <c r="G955">
        <v>9</v>
      </c>
      <c r="H955">
        <v>1589</v>
      </c>
      <c r="I955" t="str">
        <f>VLOOKUP(D955,Product_Master!A:D,2,FALSE)</f>
        <v>Chair</v>
      </c>
      <c r="J955" t="str">
        <f>VLOOKUP(D955,Product_Master!A:D,3,FALSE)</f>
        <v>Furniture</v>
      </c>
      <c r="K955">
        <f>VLOOKUP(D955,Product_Master!A:D,4,FALSE)</f>
        <v>150</v>
      </c>
      <c r="L955" t="str">
        <f>VLOOKUP(C955,Customer_Master!A:C,2,FALSE)</f>
        <v>Ramesh</v>
      </c>
      <c r="M955" t="str">
        <f>VLOOKUP(C955,Customer_Master!A:C,3,FALSE)</f>
        <v>Consumer</v>
      </c>
      <c r="N955">
        <f>Table1[[#This Row],[Quantity]]*Table1[[#This Row],[Unit_Price]]</f>
        <v>14301</v>
      </c>
      <c r="O955">
        <f>(Table1[[#This Row],[Unit_Price]]-Table1[[#This Row],[Cost_Price]])*Table1[[#This Row],[Quantity]]</f>
        <v>12951</v>
      </c>
      <c r="P955">
        <f t="shared" si="14"/>
        <v>14301</v>
      </c>
      <c r="Q955" t="str">
        <f>TEXT(Table1[[#This Row],[Order_Date]],"mmm-yyyy")</f>
        <v>Oct-2024</v>
      </c>
    </row>
    <row r="956" spans="1:17" x14ac:dyDescent="0.35">
      <c r="A956" t="s">
        <v>1327</v>
      </c>
      <c r="B956" t="s">
        <v>104</v>
      </c>
      <c r="C956" t="s">
        <v>42</v>
      </c>
      <c r="D956" t="s">
        <v>16</v>
      </c>
      <c r="E956" t="s">
        <v>27</v>
      </c>
      <c r="F956" t="s">
        <v>13</v>
      </c>
      <c r="G956">
        <v>4</v>
      </c>
      <c r="H956">
        <v>1242</v>
      </c>
      <c r="I956" t="str">
        <f>VLOOKUP(D956,Product_Master!A:D,2,FALSE)</f>
        <v>Printer</v>
      </c>
      <c r="J956" t="str">
        <f>VLOOKUP(D956,Product_Master!A:D,3,FALSE)</f>
        <v>Electronics</v>
      </c>
      <c r="K956">
        <f>VLOOKUP(D956,Product_Master!A:D,4,FALSE)</f>
        <v>1100</v>
      </c>
      <c r="L956" t="str">
        <f>VLOOKUP(C956,Customer_Master!A:C,2,FALSE)</f>
        <v>Ramesh</v>
      </c>
      <c r="M956" t="str">
        <f>VLOOKUP(C956,Customer_Master!A:C,3,FALSE)</f>
        <v>Consumer</v>
      </c>
      <c r="N956">
        <f>Table1[[#This Row],[Quantity]]*Table1[[#This Row],[Unit_Price]]</f>
        <v>4968</v>
      </c>
      <c r="O956">
        <f>(Table1[[#This Row],[Unit_Price]]-Table1[[#This Row],[Cost_Price]])*Table1[[#This Row],[Quantity]]</f>
        <v>568</v>
      </c>
      <c r="P956">
        <f t="shared" si="14"/>
        <v>4968</v>
      </c>
      <c r="Q956" t="str">
        <f>TEXT(Table1[[#This Row],[Order_Date]],"mmm-yyyy")</f>
        <v>Oct-2024</v>
      </c>
    </row>
    <row r="957" spans="1:17" x14ac:dyDescent="0.35">
      <c r="A957" t="s">
        <v>1328</v>
      </c>
      <c r="B957" t="s">
        <v>857</v>
      </c>
      <c r="C957" t="s">
        <v>21</v>
      </c>
      <c r="D957" t="s">
        <v>11</v>
      </c>
      <c r="E957" t="s">
        <v>12</v>
      </c>
      <c r="F957" t="s">
        <v>34</v>
      </c>
      <c r="G957">
        <v>4</v>
      </c>
      <c r="H957">
        <v>1530</v>
      </c>
      <c r="I957" t="str">
        <f>VLOOKUP(D957,Product_Master!A:D,2,FALSE)</f>
        <v>Chair</v>
      </c>
      <c r="J957" t="str">
        <f>VLOOKUP(D957,Product_Master!A:D,3,FALSE)</f>
        <v>Furniture</v>
      </c>
      <c r="K957">
        <f>VLOOKUP(D957,Product_Master!A:D,4,FALSE)</f>
        <v>150</v>
      </c>
      <c r="L957" t="str">
        <f>VLOOKUP(C957,Customer_Master!A:C,2,FALSE)</f>
        <v>Reliance</v>
      </c>
      <c r="M957" t="str">
        <f>VLOOKUP(C957,Customer_Master!A:C,3,FALSE)</f>
        <v>Corporate</v>
      </c>
      <c r="N957">
        <f>Table1[[#This Row],[Quantity]]*Table1[[#This Row],[Unit_Price]]</f>
        <v>6120</v>
      </c>
      <c r="O957">
        <f>(Table1[[#This Row],[Unit_Price]]-Table1[[#This Row],[Cost_Price]])*Table1[[#This Row],[Quantity]]</f>
        <v>5520</v>
      </c>
      <c r="P957">
        <f t="shared" si="14"/>
        <v>6120</v>
      </c>
      <c r="Q957" t="str">
        <f>TEXT(Table1[[#This Row],[Order_Date]],"mmm-yyyy")</f>
        <v>Aug-2024</v>
      </c>
    </row>
    <row r="958" spans="1:17" x14ac:dyDescent="0.35">
      <c r="A958" t="s">
        <v>1329</v>
      </c>
      <c r="B958" t="s">
        <v>864</v>
      </c>
      <c r="C958" t="s">
        <v>21</v>
      </c>
      <c r="D958" t="s">
        <v>26</v>
      </c>
      <c r="E958" t="s">
        <v>33</v>
      </c>
      <c r="F958" t="s">
        <v>23</v>
      </c>
      <c r="G958">
        <v>2</v>
      </c>
      <c r="H958">
        <v>1258</v>
      </c>
      <c r="I958" t="str">
        <f>VLOOKUP(D958,Product_Master!A:D,2,FALSE)</f>
        <v>Laptop</v>
      </c>
      <c r="J958" t="str">
        <f>VLOOKUP(D958,Product_Master!A:D,3,FALSE)</f>
        <v>Electronics</v>
      </c>
      <c r="K958">
        <f>VLOOKUP(D958,Product_Master!A:D,4,FALSE)</f>
        <v>900</v>
      </c>
      <c r="L958" t="str">
        <f>VLOOKUP(C958,Customer_Master!A:C,2,FALSE)</f>
        <v>Reliance</v>
      </c>
      <c r="M958" t="str">
        <f>VLOOKUP(C958,Customer_Master!A:C,3,FALSE)</f>
        <v>Corporate</v>
      </c>
      <c r="N958">
        <f>Table1[[#This Row],[Quantity]]*Table1[[#This Row],[Unit_Price]]</f>
        <v>2516</v>
      </c>
      <c r="O958">
        <f>(Table1[[#This Row],[Unit_Price]]-Table1[[#This Row],[Cost_Price]])*Table1[[#This Row],[Quantity]]</f>
        <v>716</v>
      </c>
      <c r="P958">
        <f t="shared" si="14"/>
        <v>2516</v>
      </c>
      <c r="Q958" t="str">
        <f>TEXT(Table1[[#This Row],[Order_Date]],"mmm-yyyy")</f>
        <v>May-2024</v>
      </c>
    </row>
    <row r="959" spans="1:17" x14ac:dyDescent="0.35">
      <c r="A959" t="s">
        <v>1330</v>
      </c>
      <c r="B959" t="s">
        <v>498</v>
      </c>
      <c r="C959" t="s">
        <v>42</v>
      </c>
      <c r="D959" t="s">
        <v>16</v>
      </c>
      <c r="E959" t="s">
        <v>33</v>
      </c>
      <c r="F959" t="s">
        <v>23</v>
      </c>
      <c r="G959">
        <v>8</v>
      </c>
      <c r="H959">
        <v>1310</v>
      </c>
      <c r="I959" t="str">
        <f>VLOOKUP(D959,Product_Master!A:D,2,FALSE)</f>
        <v>Printer</v>
      </c>
      <c r="J959" t="str">
        <f>VLOOKUP(D959,Product_Master!A:D,3,FALSE)</f>
        <v>Electronics</v>
      </c>
      <c r="K959">
        <f>VLOOKUP(D959,Product_Master!A:D,4,FALSE)</f>
        <v>1100</v>
      </c>
      <c r="L959" t="str">
        <f>VLOOKUP(C959,Customer_Master!A:C,2,FALSE)</f>
        <v>Ramesh</v>
      </c>
      <c r="M959" t="str">
        <f>VLOOKUP(C959,Customer_Master!A:C,3,FALSE)</f>
        <v>Consumer</v>
      </c>
      <c r="N959">
        <f>Table1[[#This Row],[Quantity]]*Table1[[#This Row],[Unit_Price]]</f>
        <v>10480</v>
      </c>
      <c r="O959">
        <f>(Table1[[#This Row],[Unit_Price]]-Table1[[#This Row],[Cost_Price]])*Table1[[#This Row],[Quantity]]</f>
        <v>1680</v>
      </c>
      <c r="P959">
        <f t="shared" si="14"/>
        <v>10480</v>
      </c>
      <c r="Q959" t="str">
        <f>TEXT(Table1[[#This Row],[Order_Date]],"mmm-yyyy")</f>
        <v>Aug-2024</v>
      </c>
    </row>
    <row r="960" spans="1:17" x14ac:dyDescent="0.35">
      <c r="A960" t="s">
        <v>1331</v>
      </c>
      <c r="B960" t="s">
        <v>665</v>
      </c>
      <c r="C960" t="s">
        <v>45</v>
      </c>
      <c r="D960" t="s">
        <v>11</v>
      </c>
      <c r="E960" t="s">
        <v>12</v>
      </c>
      <c r="F960" t="s">
        <v>18</v>
      </c>
      <c r="G960">
        <v>8</v>
      </c>
      <c r="H960">
        <v>1895</v>
      </c>
      <c r="I960" t="str">
        <f>VLOOKUP(D960,Product_Master!A:D,2,FALSE)</f>
        <v>Chair</v>
      </c>
      <c r="J960" t="str">
        <f>VLOOKUP(D960,Product_Master!A:D,3,FALSE)</f>
        <v>Furniture</v>
      </c>
      <c r="K960">
        <f>VLOOKUP(D960,Product_Master!A:D,4,FALSE)</f>
        <v>150</v>
      </c>
      <c r="L960" t="str">
        <f>VLOOKUP(C960,Customer_Master!A:C,2,FALSE)</f>
        <v>TCS</v>
      </c>
      <c r="M960" t="str">
        <f>VLOOKUP(C960,Customer_Master!A:C,3,FALSE)</f>
        <v>Corporate</v>
      </c>
      <c r="N960">
        <f>Table1[[#This Row],[Quantity]]*Table1[[#This Row],[Unit_Price]]</f>
        <v>15160</v>
      </c>
      <c r="O960">
        <f>(Table1[[#This Row],[Unit_Price]]-Table1[[#This Row],[Cost_Price]])*Table1[[#This Row],[Quantity]]</f>
        <v>13960</v>
      </c>
      <c r="P960">
        <f t="shared" si="14"/>
        <v>15160</v>
      </c>
      <c r="Q960" t="str">
        <f>TEXT(Table1[[#This Row],[Order_Date]],"mmm-yyyy")</f>
        <v>Aug-2024</v>
      </c>
    </row>
    <row r="961" spans="1:17" x14ac:dyDescent="0.35">
      <c r="A961" t="s">
        <v>1332</v>
      </c>
      <c r="B961" t="s">
        <v>393</v>
      </c>
      <c r="C961" t="s">
        <v>30</v>
      </c>
      <c r="D961" t="s">
        <v>11</v>
      </c>
      <c r="E961" t="s">
        <v>12</v>
      </c>
      <c r="F961" t="s">
        <v>23</v>
      </c>
      <c r="G961">
        <v>10</v>
      </c>
      <c r="H961">
        <v>1971</v>
      </c>
      <c r="I961" t="str">
        <f>VLOOKUP(D961,Product_Master!A:D,2,FALSE)</f>
        <v>Chair</v>
      </c>
      <c r="J961" t="str">
        <f>VLOOKUP(D961,Product_Master!A:D,3,FALSE)</f>
        <v>Furniture</v>
      </c>
      <c r="K961">
        <f>VLOOKUP(D961,Product_Master!A:D,4,FALSE)</f>
        <v>150</v>
      </c>
      <c r="L961" t="str">
        <f>VLOOKUP(C961,Customer_Master!A:C,2,FALSE)</f>
        <v>Infosys</v>
      </c>
      <c r="M961" t="str">
        <f>VLOOKUP(C961,Customer_Master!A:C,3,FALSE)</f>
        <v>Corporate</v>
      </c>
      <c r="N961">
        <f>Table1[[#This Row],[Quantity]]*Table1[[#This Row],[Unit_Price]]</f>
        <v>19710</v>
      </c>
      <c r="O961">
        <f>(Table1[[#This Row],[Unit_Price]]-Table1[[#This Row],[Cost_Price]])*Table1[[#This Row],[Quantity]]</f>
        <v>18210</v>
      </c>
      <c r="P961">
        <f t="shared" si="14"/>
        <v>19710</v>
      </c>
      <c r="Q961" t="str">
        <f>TEXT(Table1[[#This Row],[Order_Date]],"mmm-yyyy")</f>
        <v>Jan-2024</v>
      </c>
    </row>
    <row r="962" spans="1:17" x14ac:dyDescent="0.35">
      <c r="A962" t="s">
        <v>1333</v>
      </c>
      <c r="B962" t="s">
        <v>92</v>
      </c>
      <c r="C962" t="s">
        <v>45</v>
      </c>
      <c r="D962" t="s">
        <v>37</v>
      </c>
      <c r="E962" t="s">
        <v>33</v>
      </c>
      <c r="F962" t="s">
        <v>23</v>
      </c>
      <c r="G962">
        <v>2</v>
      </c>
      <c r="H962">
        <v>1931</v>
      </c>
      <c r="I962" t="str">
        <f>VLOOKUP(D962,Product_Master!A:D,2,FALSE)</f>
        <v>Mobile</v>
      </c>
      <c r="J962" t="str">
        <f>VLOOKUP(D962,Product_Master!A:D,3,FALSE)</f>
        <v>Electronics</v>
      </c>
      <c r="K962">
        <f>VLOOKUP(D962,Product_Master!A:D,4,FALSE)</f>
        <v>600</v>
      </c>
      <c r="L962" t="str">
        <f>VLOOKUP(C962,Customer_Master!A:C,2,FALSE)</f>
        <v>TCS</v>
      </c>
      <c r="M962" t="str">
        <f>VLOOKUP(C962,Customer_Master!A:C,3,FALSE)</f>
        <v>Corporate</v>
      </c>
      <c r="N962">
        <f>Table1[[#This Row],[Quantity]]*Table1[[#This Row],[Unit_Price]]</f>
        <v>3862</v>
      </c>
      <c r="O962">
        <f>(Table1[[#This Row],[Unit_Price]]-Table1[[#This Row],[Cost_Price]])*Table1[[#This Row],[Quantity]]</f>
        <v>2662</v>
      </c>
      <c r="P962">
        <f t="shared" ref="P962:P1001" si="15">VALUE(N962)</f>
        <v>3862</v>
      </c>
      <c r="Q962" t="str">
        <f>TEXT(Table1[[#This Row],[Order_Date]],"mmm-yyyy")</f>
        <v>Oct-2024</v>
      </c>
    </row>
    <row r="963" spans="1:17" x14ac:dyDescent="0.35">
      <c r="A963" t="s">
        <v>1334</v>
      </c>
      <c r="B963" t="s">
        <v>193</v>
      </c>
      <c r="C963" t="s">
        <v>42</v>
      </c>
      <c r="D963" t="s">
        <v>37</v>
      </c>
      <c r="E963" t="s">
        <v>12</v>
      </c>
      <c r="F963" t="s">
        <v>18</v>
      </c>
      <c r="G963">
        <v>8</v>
      </c>
      <c r="H963">
        <v>1112</v>
      </c>
      <c r="I963" t="str">
        <f>VLOOKUP(D963,Product_Master!A:D,2,FALSE)</f>
        <v>Mobile</v>
      </c>
      <c r="J963" t="str">
        <f>VLOOKUP(D963,Product_Master!A:D,3,FALSE)</f>
        <v>Electronics</v>
      </c>
      <c r="K963">
        <f>VLOOKUP(D963,Product_Master!A:D,4,FALSE)</f>
        <v>600</v>
      </c>
      <c r="L963" t="str">
        <f>VLOOKUP(C963,Customer_Master!A:C,2,FALSE)</f>
        <v>Ramesh</v>
      </c>
      <c r="M963" t="str">
        <f>VLOOKUP(C963,Customer_Master!A:C,3,FALSE)</f>
        <v>Consumer</v>
      </c>
      <c r="N963">
        <f>Table1[[#This Row],[Quantity]]*Table1[[#This Row],[Unit_Price]]</f>
        <v>8896</v>
      </c>
      <c r="O963">
        <f>(Table1[[#This Row],[Unit_Price]]-Table1[[#This Row],[Cost_Price]])*Table1[[#This Row],[Quantity]]</f>
        <v>4096</v>
      </c>
      <c r="P963">
        <f t="shared" si="15"/>
        <v>8896</v>
      </c>
      <c r="Q963" t="str">
        <f>TEXT(Table1[[#This Row],[Order_Date]],"mmm-yyyy")</f>
        <v>Sep-2024</v>
      </c>
    </row>
    <row r="964" spans="1:17" x14ac:dyDescent="0.35">
      <c r="A964" t="s">
        <v>1335</v>
      </c>
      <c r="B964" t="s">
        <v>587</v>
      </c>
      <c r="C964" t="s">
        <v>42</v>
      </c>
      <c r="D964" t="s">
        <v>26</v>
      </c>
      <c r="E964" t="s">
        <v>27</v>
      </c>
      <c r="F964" t="s">
        <v>13</v>
      </c>
      <c r="G964">
        <v>9</v>
      </c>
      <c r="H964">
        <v>838</v>
      </c>
      <c r="I964" t="str">
        <f>VLOOKUP(D964,Product_Master!A:D,2,FALSE)</f>
        <v>Laptop</v>
      </c>
      <c r="J964" t="str">
        <f>VLOOKUP(D964,Product_Master!A:D,3,FALSE)</f>
        <v>Electronics</v>
      </c>
      <c r="K964">
        <f>VLOOKUP(D964,Product_Master!A:D,4,FALSE)</f>
        <v>900</v>
      </c>
      <c r="L964" t="str">
        <f>VLOOKUP(C964,Customer_Master!A:C,2,FALSE)</f>
        <v>Ramesh</v>
      </c>
      <c r="M964" t="str">
        <f>VLOOKUP(C964,Customer_Master!A:C,3,FALSE)</f>
        <v>Consumer</v>
      </c>
      <c r="N964">
        <f>Table1[[#This Row],[Quantity]]*Table1[[#This Row],[Unit_Price]]</f>
        <v>7542</v>
      </c>
      <c r="O964">
        <f>(Table1[[#This Row],[Unit_Price]]-Table1[[#This Row],[Cost_Price]])*Table1[[#This Row],[Quantity]]</f>
        <v>-558</v>
      </c>
      <c r="P964">
        <f t="shared" si="15"/>
        <v>7542</v>
      </c>
      <c r="Q964" t="str">
        <f>TEXT(Table1[[#This Row],[Order_Date]],"mmm-yyyy")</f>
        <v>Aug-2024</v>
      </c>
    </row>
    <row r="965" spans="1:17" x14ac:dyDescent="0.35">
      <c r="A965" t="s">
        <v>1336</v>
      </c>
      <c r="B965" t="s">
        <v>15</v>
      </c>
      <c r="C965" t="s">
        <v>45</v>
      </c>
      <c r="D965" t="s">
        <v>37</v>
      </c>
      <c r="E965" t="s">
        <v>12</v>
      </c>
      <c r="F965" t="s">
        <v>23</v>
      </c>
      <c r="G965">
        <v>5</v>
      </c>
      <c r="H965">
        <v>1832</v>
      </c>
      <c r="I965" t="str">
        <f>VLOOKUP(D965,Product_Master!A:D,2,FALSE)</f>
        <v>Mobile</v>
      </c>
      <c r="J965" t="str">
        <f>VLOOKUP(D965,Product_Master!A:D,3,FALSE)</f>
        <v>Electronics</v>
      </c>
      <c r="K965">
        <f>VLOOKUP(D965,Product_Master!A:D,4,FALSE)</f>
        <v>600</v>
      </c>
      <c r="L965" t="str">
        <f>VLOOKUP(C965,Customer_Master!A:C,2,FALSE)</f>
        <v>TCS</v>
      </c>
      <c r="M965" t="str">
        <f>VLOOKUP(C965,Customer_Master!A:C,3,FALSE)</f>
        <v>Corporate</v>
      </c>
      <c r="N965">
        <f>Table1[[#This Row],[Quantity]]*Table1[[#This Row],[Unit_Price]]</f>
        <v>9160</v>
      </c>
      <c r="O965">
        <f>(Table1[[#This Row],[Unit_Price]]-Table1[[#This Row],[Cost_Price]])*Table1[[#This Row],[Quantity]]</f>
        <v>6160</v>
      </c>
      <c r="P965">
        <f t="shared" si="15"/>
        <v>9160</v>
      </c>
      <c r="Q965" t="str">
        <f>TEXT(Table1[[#This Row],[Order_Date]],"mmm-yyyy")</f>
        <v>Sep-2024</v>
      </c>
    </row>
    <row r="966" spans="1:17" x14ac:dyDescent="0.35">
      <c r="A966" t="s">
        <v>1337</v>
      </c>
      <c r="B966" t="s">
        <v>158</v>
      </c>
      <c r="C966" t="s">
        <v>42</v>
      </c>
      <c r="D966" t="s">
        <v>16</v>
      </c>
      <c r="E966" t="s">
        <v>27</v>
      </c>
      <c r="F966" t="s">
        <v>23</v>
      </c>
      <c r="G966">
        <v>8</v>
      </c>
      <c r="H966">
        <v>1624</v>
      </c>
      <c r="I966" t="str">
        <f>VLOOKUP(D966,Product_Master!A:D,2,FALSE)</f>
        <v>Printer</v>
      </c>
      <c r="J966" t="str">
        <f>VLOOKUP(D966,Product_Master!A:D,3,FALSE)</f>
        <v>Electronics</v>
      </c>
      <c r="K966">
        <f>VLOOKUP(D966,Product_Master!A:D,4,FALSE)</f>
        <v>1100</v>
      </c>
      <c r="L966" t="str">
        <f>VLOOKUP(C966,Customer_Master!A:C,2,FALSE)</f>
        <v>Ramesh</v>
      </c>
      <c r="M966" t="str">
        <f>VLOOKUP(C966,Customer_Master!A:C,3,FALSE)</f>
        <v>Consumer</v>
      </c>
      <c r="N966">
        <f>Table1[[#This Row],[Quantity]]*Table1[[#This Row],[Unit_Price]]</f>
        <v>12992</v>
      </c>
      <c r="O966">
        <f>(Table1[[#This Row],[Unit_Price]]-Table1[[#This Row],[Cost_Price]])*Table1[[#This Row],[Quantity]]</f>
        <v>4192</v>
      </c>
      <c r="P966">
        <f t="shared" si="15"/>
        <v>12992</v>
      </c>
      <c r="Q966" t="str">
        <f>TEXT(Table1[[#This Row],[Order_Date]],"mmm-yyyy")</f>
        <v>Mar-2024</v>
      </c>
    </row>
    <row r="967" spans="1:17" x14ac:dyDescent="0.35">
      <c r="A967" t="s">
        <v>1338</v>
      </c>
      <c r="B967" t="s">
        <v>217</v>
      </c>
      <c r="C967" t="s">
        <v>45</v>
      </c>
      <c r="D967" t="s">
        <v>16</v>
      </c>
      <c r="E967" t="s">
        <v>12</v>
      </c>
      <c r="F967" t="s">
        <v>18</v>
      </c>
      <c r="G967">
        <v>3</v>
      </c>
      <c r="H967">
        <v>1744</v>
      </c>
      <c r="I967" t="str">
        <f>VLOOKUP(D967,Product_Master!A:D,2,FALSE)</f>
        <v>Printer</v>
      </c>
      <c r="J967" t="str">
        <f>VLOOKUP(D967,Product_Master!A:D,3,FALSE)</f>
        <v>Electronics</v>
      </c>
      <c r="K967">
        <f>VLOOKUP(D967,Product_Master!A:D,4,FALSE)</f>
        <v>1100</v>
      </c>
      <c r="L967" t="str">
        <f>VLOOKUP(C967,Customer_Master!A:C,2,FALSE)</f>
        <v>TCS</v>
      </c>
      <c r="M967" t="str">
        <f>VLOOKUP(C967,Customer_Master!A:C,3,FALSE)</f>
        <v>Corporate</v>
      </c>
      <c r="N967">
        <f>Table1[[#This Row],[Quantity]]*Table1[[#This Row],[Unit_Price]]</f>
        <v>5232</v>
      </c>
      <c r="O967">
        <f>(Table1[[#This Row],[Unit_Price]]-Table1[[#This Row],[Cost_Price]])*Table1[[#This Row],[Quantity]]</f>
        <v>1932</v>
      </c>
      <c r="P967">
        <f t="shared" si="15"/>
        <v>5232</v>
      </c>
      <c r="Q967" t="str">
        <f>TEXT(Table1[[#This Row],[Order_Date]],"mmm-yyyy")</f>
        <v>Nov-2024</v>
      </c>
    </row>
    <row r="968" spans="1:17" x14ac:dyDescent="0.35">
      <c r="A968" t="s">
        <v>1339</v>
      </c>
      <c r="B968" t="s">
        <v>895</v>
      </c>
      <c r="C968" t="s">
        <v>30</v>
      </c>
      <c r="D968" t="s">
        <v>37</v>
      </c>
      <c r="E968" t="s">
        <v>27</v>
      </c>
      <c r="F968" t="s">
        <v>13</v>
      </c>
      <c r="G968">
        <v>5</v>
      </c>
      <c r="H968">
        <v>1288</v>
      </c>
      <c r="I968" t="str">
        <f>VLOOKUP(D968,Product_Master!A:D,2,FALSE)</f>
        <v>Mobile</v>
      </c>
      <c r="J968" t="str">
        <f>VLOOKUP(D968,Product_Master!A:D,3,FALSE)</f>
        <v>Electronics</v>
      </c>
      <c r="K968">
        <f>VLOOKUP(D968,Product_Master!A:D,4,FALSE)</f>
        <v>600</v>
      </c>
      <c r="L968" t="str">
        <f>VLOOKUP(C968,Customer_Master!A:C,2,FALSE)</f>
        <v>Infosys</v>
      </c>
      <c r="M968" t="str">
        <f>VLOOKUP(C968,Customer_Master!A:C,3,FALSE)</f>
        <v>Corporate</v>
      </c>
      <c r="N968">
        <f>Table1[[#This Row],[Quantity]]*Table1[[#This Row],[Unit_Price]]</f>
        <v>6440</v>
      </c>
      <c r="O968">
        <f>(Table1[[#This Row],[Unit_Price]]-Table1[[#This Row],[Cost_Price]])*Table1[[#This Row],[Quantity]]</f>
        <v>3440</v>
      </c>
      <c r="P968">
        <f t="shared" si="15"/>
        <v>6440</v>
      </c>
      <c r="Q968" t="str">
        <f>TEXT(Table1[[#This Row],[Order_Date]],"mmm-yyyy")</f>
        <v>Feb-2024</v>
      </c>
    </row>
    <row r="969" spans="1:17" x14ac:dyDescent="0.35">
      <c r="A969" t="s">
        <v>1340</v>
      </c>
      <c r="B969" t="s">
        <v>407</v>
      </c>
      <c r="C969" t="s">
        <v>30</v>
      </c>
      <c r="D969" t="s">
        <v>11</v>
      </c>
      <c r="E969" t="s">
        <v>17</v>
      </c>
      <c r="F969" t="s">
        <v>18</v>
      </c>
      <c r="G969">
        <v>6</v>
      </c>
      <c r="H969">
        <v>1643</v>
      </c>
      <c r="I969" t="str">
        <f>VLOOKUP(D969,Product_Master!A:D,2,FALSE)</f>
        <v>Chair</v>
      </c>
      <c r="J969" t="str">
        <f>VLOOKUP(D969,Product_Master!A:D,3,FALSE)</f>
        <v>Furniture</v>
      </c>
      <c r="K969">
        <f>VLOOKUP(D969,Product_Master!A:D,4,FALSE)</f>
        <v>150</v>
      </c>
      <c r="L969" t="str">
        <f>VLOOKUP(C969,Customer_Master!A:C,2,FALSE)</f>
        <v>Infosys</v>
      </c>
      <c r="M969" t="str">
        <f>VLOOKUP(C969,Customer_Master!A:C,3,FALSE)</f>
        <v>Corporate</v>
      </c>
      <c r="N969">
        <f>Table1[[#This Row],[Quantity]]*Table1[[#This Row],[Unit_Price]]</f>
        <v>9858</v>
      </c>
      <c r="O969">
        <f>(Table1[[#This Row],[Unit_Price]]-Table1[[#This Row],[Cost_Price]])*Table1[[#This Row],[Quantity]]</f>
        <v>8958</v>
      </c>
      <c r="P969">
        <f t="shared" si="15"/>
        <v>9858</v>
      </c>
      <c r="Q969" t="str">
        <f>TEXT(Table1[[#This Row],[Order_Date]],"mmm-yyyy")</f>
        <v>Mar-2024</v>
      </c>
    </row>
    <row r="970" spans="1:17" x14ac:dyDescent="0.35">
      <c r="A970" t="s">
        <v>1341</v>
      </c>
      <c r="B970" t="s">
        <v>765</v>
      </c>
      <c r="C970" t="s">
        <v>10</v>
      </c>
      <c r="D970" t="s">
        <v>37</v>
      </c>
      <c r="E970" t="s">
        <v>12</v>
      </c>
      <c r="F970" t="s">
        <v>23</v>
      </c>
      <c r="G970">
        <v>2</v>
      </c>
      <c r="H970">
        <v>1233</v>
      </c>
      <c r="I970" t="str">
        <f>VLOOKUP(D970,Product_Master!A:D,2,FALSE)</f>
        <v>Mobile</v>
      </c>
      <c r="J970" t="str">
        <f>VLOOKUP(D970,Product_Master!A:D,3,FALSE)</f>
        <v>Electronics</v>
      </c>
      <c r="K970">
        <f>VLOOKUP(D970,Product_Master!A:D,4,FALSE)</f>
        <v>600</v>
      </c>
      <c r="L970" t="str">
        <f>VLOOKUP(C970,Customer_Master!A:C,2,FALSE)</f>
        <v>Suresh</v>
      </c>
      <c r="M970" t="str">
        <f>VLOOKUP(C970,Customer_Master!A:C,3,FALSE)</f>
        <v>Consumer</v>
      </c>
      <c r="N970">
        <f>Table1[[#This Row],[Quantity]]*Table1[[#This Row],[Unit_Price]]</f>
        <v>2466</v>
      </c>
      <c r="O970">
        <f>(Table1[[#This Row],[Unit_Price]]-Table1[[#This Row],[Cost_Price]])*Table1[[#This Row],[Quantity]]</f>
        <v>1266</v>
      </c>
      <c r="P970">
        <f t="shared" si="15"/>
        <v>2466</v>
      </c>
      <c r="Q970" t="str">
        <f>TEXT(Table1[[#This Row],[Order_Date]],"mmm-yyyy")</f>
        <v>Dec-2024</v>
      </c>
    </row>
    <row r="971" spans="1:17" x14ac:dyDescent="0.35">
      <c r="A971" t="s">
        <v>1342</v>
      </c>
      <c r="B971" t="s">
        <v>113</v>
      </c>
      <c r="C971" t="s">
        <v>30</v>
      </c>
      <c r="D971" t="s">
        <v>16</v>
      </c>
      <c r="E971" t="s">
        <v>33</v>
      </c>
      <c r="F971" t="s">
        <v>23</v>
      </c>
      <c r="G971">
        <v>9</v>
      </c>
      <c r="H971">
        <v>1483</v>
      </c>
      <c r="I971" t="str">
        <f>VLOOKUP(D971,Product_Master!A:D,2,FALSE)</f>
        <v>Printer</v>
      </c>
      <c r="J971" t="str">
        <f>VLOOKUP(D971,Product_Master!A:D,3,FALSE)</f>
        <v>Electronics</v>
      </c>
      <c r="K971">
        <f>VLOOKUP(D971,Product_Master!A:D,4,FALSE)</f>
        <v>1100</v>
      </c>
      <c r="L971" t="str">
        <f>VLOOKUP(C971,Customer_Master!A:C,2,FALSE)</f>
        <v>Infosys</v>
      </c>
      <c r="M971" t="str">
        <f>VLOOKUP(C971,Customer_Master!A:C,3,FALSE)</f>
        <v>Corporate</v>
      </c>
      <c r="N971">
        <f>Table1[[#This Row],[Quantity]]*Table1[[#This Row],[Unit_Price]]</f>
        <v>13347</v>
      </c>
      <c r="O971">
        <f>(Table1[[#This Row],[Unit_Price]]-Table1[[#This Row],[Cost_Price]])*Table1[[#This Row],[Quantity]]</f>
        <v>3447</v>
      </c>
      <c r="P971">
        <f t="shared" si="15"/>
        <v>13347</v>
      </c>
      <c r="Q971" t="str">
        <f>TEXT(Table1[[#This Row],[Order_Date]],"mmm-yyyy")</f>
        <v>Jun-2024</v>
      </c>
    </row>
    <row r="972" spans="1:17" x14ac:dyDescent="0.35">
      <c r="A972" t="s">
        <v>1343</v>
      </c>
      <c r="B972" t="s">
        <v>1344</v>
      </c>
      <c r="C972" t="s">
        <v>30</v>
      </c>
      <c r="D972" t="s">
        <v>11</v>
      </c>
      <c r="E972" t="s">
        <v>27</v>
      </c>
      <c r="F972" t="s">
        <v>18</v>
      </c>
      <c r="G972">
        <v>1</v>
      </c>
      <c r="H972">
        <v>1074</v>
      </c>
      <c r="I972" t="str">
        <f>VLOOKUP(D972,Product_Master!A:D,2,FALSE)</f>
        <v>Chair</v>
      </c>
      <c r="J972" t="str">
        <f>VLOOKUP(D972,Product_Master!A:D,3,FALSE)</f>
        <v>Furniture</v>
      </c>
      <c r="K972">
        <f>VLOOKUP(D972,Product_Master!A:D,4,FALSE)</f>
        <v>150</v>
      </c>
      <c r="L972" t="str">
        <f>VLOOKUP(C972,Customer_Master!A:C,2,FALSE)</f>
        <v>Infosys</v>
      </c>
      <c r="M972" t="str">
        <f>VLOOKUP(C972,Customer_Master!A:C,3,FALSE)</f>
        <v>Corporate</v>
      </c>
      <c r="N972">
        <f>Table1[[#This Row],[Quantity]]*Table1[[#This Row],[Unit_Price]]</f>
        <v>1074</v>
      </c>
      <c r="O972">
        <f>(Table1[[#This Row],[Unit_Price]]-Table1[[#This Row],[Cost_Price]])*Table1[[#This Row],[Quantity]]</f>
        <v>924</v>
      </c>
      <c r="P972">
        <f t="shared" si="15"/>
        <v>1074</v>
      </c>
      <c r="Q972" t="str">
        <f>TEXT(Table1[[#This Row],[Order_Date]],"mmm-yyyy")</f>
        <v>Dec-2024</v>
      </c>
    </row>
    <row r="973" spans="1:17" x14ac:dyDescent="0.35">
      <c r="A973" t="s">
        <v>1345</v>
      </c>
      <c r="B973" t="s">
        <v>456</v>
      </c>
      <c r="C973" t="s">
        <v>45</v>
      </c>
      <c r="D973" t="s">
        <v>26</v>
      </c>
      <c r="E973" t="s">
        <v>12</v>
      </c>
      <c r="F973" t="s">
        <v>18</v>
      </c>
      <c r="G973">
        <v>1</v>
      </c>
      <c r="H973">
        <v>1311</v>
      </c>
      <c r="I973" t="str">
        <f>VLOOKUP(D973,Product_Master!A:D,2,FALSE)</f>
        <v>Laptop</v>
      </c>
      <c r="J973" t="str">
        <f>VLOOKUP(D973,Product_Master!A:D,3,FALSE)</f>
        <v>Electronics</v>
      </c>
      <c r="K973">
        <f>VLOOKUP(D973,Product_Master!A:D,4,FALSE)</f>
        <v>900</v>
      </c>
      <c r="L973" t="str">
        <f>VLOOKUP(C973,Customer_Master!A:C,2,FALSE)</f>
        <v>TCS</v>
      </c>
      <c r="M973" t="str">
        <f>VLOOKUP(C973,Customer_Master!A:C,3,FALSE)</f>
        <v>Corporate</v>
      </c>
      <c r="N973">
        <f>Table1[[#This Row],[Quantity]]*Table1[[#This Row],[Unit_Price]]</f>
        <v>1311</v>
      </c>
      <c r="O973">
        <f>(Table1[[#This Row],[Unit_Price]]-Table1[[#This Row],[Cost_Price]])*Table1[[#This Row],[Quantity]]</f>
        <v>411</v>
      </c>
      <c r="P973">
        <f t="shared" si="15"/>
        <v>1311</v>
      </c>
      <c r="Q973" t="str">
        <f>TEXT(Table1[[#This Row],[Order_Date]],"mmm-yyyy")</f>
        <v>Dec-2024</v>
      </c>
    </row>
    <row r="974" spans="1:17" x14ac:dyDescent="0.35">
      <c r="A974" t="s">
        <v>1346</v>
      </c>
      <c r="B974" t="s">
        <v>833</v>
      </c>
      <c r="C974" t="s">
        <v>42</v>
      </c>
      <c r="D974" t="s">
        <v>26</v>
      </c>
      <c r="E974" t="s">
        <v>27</v>
      </c>
      <c r="F974" t="s">
        <v>18</v>
      </c>
      <c r="G974">
        <v>4</v>
      </c>
      <c r="H974">
        <v>1321</v>
      </c>
      <c r="I974" t="str">
        <f>VLOOKUP(D974,Product_Master!A:D,2,FALSE)</f>
        <v>Laptop</v>
      </c>
      <c r="J974" t="str">
        <f>VLOOKUP(D974,Product_Master!A:D,3,FALSE)</f>
        <v>Electronics</v>
      </c>
      <c r="K974">
        <f>VLOOKUP(D974,Product_Master!A:D,4,FALSE)</f>
        <v>900</v>
      </c>
      <c r="L974" t="str">
        <f>VLOOKUP(C974,Customer_Master!A:C,2,FALSE)</f>
        <v>Ramesh</v>
      </c>
      <c r="M974" t="str">
        <f>VLOOKUP(C974,Customer_Master!A:C,3,FALSE)</f>
        <v>Consumer</v>
      </c>
      <c r="N974">
        <f>Table1[[#This Row],[Quantity]]*Table1[[#This Row],[Unit_Price]]</f>
        <v>5284</v>
      </c>
      <c r="O974">
        <f>(Table1[[#This Row],[Unit_Price]]-Table1[[#This Row],[Cost_Price]])*Table1[[#This Row],[Quantity]]</f>
        <v>1684</v>
      </c>
      <c r="P974">
        <f t="shared" si="15"/>
        <v>5284</v>
      </c>
      <c r="Q974" t="str">
        <f>TEXT(Table1[[#This Row],[Order_Date]],"mmm-yyyy")</f>
        <v>Feb-2024</v>
      </c>
    </row>
    <row r="975" spans="1:17" x14ac:dyDescent="0.35">
      <c r="A975" t="s">
        <v>1347</v>
      </c>
      <c r="B975" t="s">
        <v>169</v>
      </c>
      <c r="C975" t="s">
        <v>42</v>
      </c>
      <c r="D975" t="s">
        <v>26</v>
      </c>
      <c r="E975" t="s">
        <v>17</v>
      </c>
      <c r="F975" t="s">
        <v>18</v>
      </c>
      <c r="G975">
        <v>9</v>
      </c>
      <c r="H975">
        <v>1899</v>
      </c>
      <c r="I975" t="str">
        <f>VLOOKUP(D975,Product_Master!A:D,2,FALSE)</f>
        <v>Laptop</v>
      </c>
      <c r="J975" t="str">
        <f>VLOOKUP(D975,Product_Master!A:D,3,FALSE)</f>
        <v>Electronics</v>
      </c>
      <c r="K975">
        <f>VLOOKUP(D975,Product_Master!A:D,4,FALSE)</f>
        <v>900</v>
      </c>
      <c r="L975" t="str">
        <f>VLOOKUP(C975,Customer_Master!A:C,2,FALSE)</f>
        <v>Ramesh</v>
      </c>
      <c r="M975" t="str">
        <f>VLOOKUP(C975,Customer_Master!A:C,3,FALSE)</f>
        <v>Consumer</v>
      </c>
      <c r="N975">
        <f>Table1[[#This Row],[Quantity]]*Table1[[#This Row],[Unit_Price]]</f>
        <v>17091</v>
      </c>
      <c r="O975">
        <f>(Table1[[#This Row],[Unit_Price]]-Table1[[#This Row],[Cost_Price]])*Table1[[#This Row],[Quantity]]</f>
        <v>8991</v>
      </c>
      <c r="P975">
        <f t="shared" si="15"/>
        <v>17091</v>
      </c>
      <c r="Q975" t="str">
        <f>TEXT(Table1[[#This Row],[Order_Date]],"mmm-yyyy")</f>
        <v>Mar-2024</v>
      </c>
    </row>
    <row r="976" spans="1:17" x14ac:dyDescent="0.35">
      <c r="A976" t="s">
        <v>1348</v>
      </c>
      <c r="B976" t="s">
        <v>1074</v>
      </c>
      <c r="C976" t="s">
        <v>30</v>
      </c>
      <c r="D976" t="s">
        <v>26</v>
      </c>
      <c r="E976" t="s">
        <v>33</v>
      </c>
      <c r="F976" t="s">
        <v>18</v>
      </c>
      <c r="G976">
        <v>2</v>
      </c>
      <c r="H976">
        <v>955</v>
      </c>
      <c r="I976" t="str">
        <f>VLOOKUP(D976,Product_Master!A:D,2,FALSE)</f>
        <v>Laptop</v>
      </c>
      <c r="J976" t="str">
        <f>VLOOKUP(D976,Product_Master!A:D,3,FALSE)</f>
        <v>Electronics</v>
      </c>
      <c r="K976">
        <f>VLOOKUP(D976,Product_Master!A:D,4,FALSE)</f>
        <v>900</v>
      </c>
      <c r="L976" t="str">
        <f>VLOOKUP(C976,Customer_Master!A:C,2,FALSE)</f>
        <v>Infosys</v>
      </c>
      <c r="M976" t="str">
        <f>VLOOKUP(C976,Customer_Master!A:C,3,FALSE)</f>
        <v>Corporate</v>
      </c>
      <c r="N976">
        <f>Table1[[#This Row],[Quantity]]*Table1[[#This Row],[Unit_Price]]</f>
        <v>1910</v>
      </c>
      <c r="O976">
        <f>(Table1[[#This Row],[Unit_Price]]-Table1[[#This Row],[Cost_Price]])*Table1[[#This Row],[Quantity]]</f>
        <v>110</v>
      </c>
      <c r="P976">
        <f t="shared" si="15"/>
        <v>1910</v>
      </c>
      <c r="Q976" t="str">
        <f>TEXT(Table1[[#This Row],[Order_Date]],"mmm-yyyy")</f>
        <v>Oct-2024</v>
      </c>
    </row>
    <row r="977" spans="1:17" x14ac:dyDescent="0.35">
      <c r="A977" t="s">
        <v>1349</v>
      </c>
      <c r="B977" t="s">
        <v>717</v>
      </c>
      <c r="C977" t="s">
        <v>10</v>
      </c>
      <c r="D977" t="s">
        <v>16</v>
      </c>
      <c r="E977" t="s">
        <v>17</v>
      </c>
      <c r="F977" t="s">
        <v>18</v>
      </c>
      <c r="G977">
        <v>5</v>
      </c>
      <c r="H977">
        <v>1068</v>
      </c>
      <c r="I977" t="str">
        <f>VLOOKUP(D977,Product_Master!A:D,2,FALSE)</f>
        <v>Printer</v>
      </c>
      <c r="J977" t="str">
        <f>VLOOKUP(D977,Product_Master!A:D,3,FALSE)</f>
        <v>Electronics</v>
      </c>
      <c r="K977">
        <f>VLOOKUP(D977,Product_Master!A:D,4,FALSE)</f>
        <v>1100</v>
      </c>
      <c r="L977" t="str">
        <f>VLOOKUP(C977,Customer_Master!A:C,2,FALSE)</f>
        <v>Suresh</v>
      </c>
      <c r="M977" t="str">
        <f>VLOOKUP(C977,Customer_Master!A:C,3,FALSE)</f>
        <v>Consumer</v>
      </c>
      <c r="N977">
        <f>Table1[[#This Row],[Quantity]]*Table1[[#This Row],[Unit_Price]]</f>
        <v>5340</v>
      </c>
      <c r="O977">
        <f>(Table1[[#This Row],[Unit_Price]]-Table1[[#This Row],[Cost_Price]])*Table1[[#This Row],[Quantity]]</f>
        <v>-160</v>
      </c>
      <c r="P977">
        <f t="shared" si="15"/>
        <v>5340</v>
      </c>
      <c r="Q977" t="str">
        <f>TEXT(Table1[[#This Row],[Order_Date]],"mmm-yyyy")</f>
        <v>Sep-2024</v>
      </c>
    </row>
    <row r="978" spans="1:17" x14ac:dyDescent="0.35">
      <c r="A978" t="s">
        <v>1350</v>
      </c>
      <c r="B978" t="s">
        <v>605</v>
      </c>
      <c r="C978" t="s">
        <v>21</v>
      </c>
      <c r="D978" t="s">
        <v>22</v>
      </c>
      <c r="E978" t="s">
        <v>17</v>
      </c>
      <c r="F978" t="s">
        <v>18</v>
      </c>
      <c r="G978">
        <v>8</v>
      </c>
      <c r="H978">
        <v>1706</v>
      </c>
      <c r="I978" t="str">
        <f>VLOOKUP(D978,Product_Master!A:D,2,FALSE)</f>
        <v>Desk</v>
      </c>
      <c r="J978" t="str">
        <f>VLOOKUP(D978,Product_Master!A:D,3,FALSE)</f>
        <v>Furniture</v>
      </c>
      <c r="K978">
        <f>VLOOKUP(D978,Product_Master!A:D,4,FALSE)</f>
        <v>300</v>
      </c>
      <c r="L978" t="str">
        <f>VLOOKUP(C978,Customer_Master!A:C,2,FALSE)</f>
        <v>Reliance</v>
      </c>
      <c r="M978" t="str">
        <f>VLOOKUP(C978,Customer_Master!A:C,3,FALSE)</f>
        <v>Corporate</v>
      </c>
      <c r="N978">
        <f>Table1[[#This Row],[Quantity]]*Table1[[#This Row],[Unit_Price]]</f>
        <v>13648</v>
      </c>
      <c r="O978">
        <f>(Table1[[#This Row],[Unit_Price]]-Table1[[#This Row],[Cost_Price]])*Table1[[#This Row],[Quantity]]</f>
        <v>11248</v>
      </c>
      <c r="P978">
        <f t="shared" si="15"/>
        <v>13648</v>
      </c>
      <c r="Q978" t="str">
        <f>TEXT(Table1[[#This Row],[Order_Date]],"mmm-yyyy")</f>
        <v>Aug-2024</v>
      </c>
    </row>
    <row r="979" spans="1:17" x14ac:dyDescent="0.35">
      <c r="A979" t="s">
        <v>1351</v>
      </c>
      <c r="B979" t="s">
        <v>660</v>
      </c>
      <c r="C979" t="s">
        <v>45</v>
      </c>
      <c r="D979" t="s">
        <v>26</v>
      </c>
      <c r="E979" t="s">
        <v>27</v>
      </c>
      <c r="F979" t="s">
        <v>13</v>
      </c>
      <c r="G979">
        <v>9</v>
      </c>
      <c r="H979">
        <v>1650</v>
      </c>
      <c r="I979" t="str">
        <f>VLOOKUP(D979,Product_Master!A:D,2,FALSE)</f>
        <v>Laptop</v>
      </c>
      <c r="J979" t="str">
        <f>VLOOKUP(D979,Product_Master!A:D,3,FALSE)</f>
        <v>Electronics</v>
      </c>
      <c r="K979">
        <f>VLOOKUP(D979,Product_Master!A:D,4,FALSE)</f>
        <v>900</v>
      </c>
      <c r="L979" t="str">
        <f>VLOOKUP(C979,Customer_Master!A:C,2,FALSE)</f>
        <v>TCS</v>
      </c>
      <c r="M979" t="str">
        <f>VLOOKUP(C979,Customer_Master!A:C,3,FALSE)</f>
        <v>Corporate</v>
      </c>
      <c r="N979">
        <f>Table1[[#This Row],[Quantity]]*Table1[[#This Row],[Unit_Price]]</f>
        <v>14850</v>
      </c>
      <c r="O979">
        <f>(Table1[[#This Row],[Unit_Price]]-Table1[[#This Row],[Cost_Price]])*Table1[[#This Row],[Quantity]]</f>
        <v>6750</v>
      </c>
      <c r="P979">
        <f t="shared" si="15"/>
        <v>14850</v>
      </c>
      <c r="Q979" t="str">
        <f>TEXT(Table1[[#This Row],[Order_Date]],"mmm-yyyy")</f>
        <v>Aug-2024</v>
      </c>
    </row>
    <row r="980" spans="1:17" x14ac:dyDescent="0.35">
      <c r="A980" t="s">
        <v>1352</v>
      </c>
      <c r="B980" t="s">
        <v>74</v>
      </c>
      <c r="C980" t="s">
        <v>10</v>
      </c>
      <c r="D980" t="s">
        <v>22</v>
      </c>
      <c r="E980" t="s">
        <v>27</v>
      </c>
      <c r="F980" t="s">
        <v>18</v>
      </c>
      <c r="G980">
        <v>3</v>
      </c>
      <c r="H980">
        <v>1114</v>
      </c>
      <c r="I980" t="str">
        <f>VLOOKUP(D980,Product_Master!A:D,2,FALSE)</f>
        <v>Desk</v>
      </c>
      <c r="J980" t="str">
        <f>VLOOKUP(D980,Product_Master!A:D,3,FALSE)</f>
        <v>Furniture</v>
      </c>
      <c r="K980">
        <f>VLOOKUP(D980,Product_Master!A:D,4,FALSE)</f>
        <v>300</v>
      </c>
      <c r="L980" t="str">
        <f>VLOOKUP(C980,Customer_Master!A:C,2,FALSE)</f>
        <v>Suresh</v>
      </c>
      <c r="M980" t="str">
        <f>VLOOKUP(C980,Customer_Master!A:C,3,FALSE)</f>
        <v>Consumer</v>
      </c>
      <c r="N980">
        <f>Table1[[#This Row],[Quantity]]*Table1[[#This Row],[Unit_Price]]</f>
        <v>3342</v>
      </c>
      <c r="O980">
        <f>(Table1[[#This Row],[Unit_Price]]-Table1[[#This Row],[Cost_Price]])*Table1[[#This Row],[Quantity]]</f>
        <v>2442</v>
      </c>
      <c r="P980">
        <f t="shared" si="15"/>
        <v>3342</v>
      </c>
      <c r="Q980" t="str">
        <f>TEXT(Table1[[#This Row],[Order_Date]],"mmm-yyyy")</f>
        <v>Sep-2024</v>
      </c>
    </row>
    <row r="981" spans="1:17" x14ac:dyDescent="0.35">
      <c r="A981" t="s">
        <v>1353</v>
      </c>
      <c r="B981" t="s">
        <v>574</v>
      </c>
      <c r="C981" t="s">
        <v>21</v>
      </c>
      <c r="D981" t="s">
        <v>37</v>
      </c>
      <c r="E981" t="s">
        <v>12</v>
      </c>
      <c r="F981" t="s">
        <v>18</v>
      </c>
      <c r="G981">
        <v>4</v>
      </c>
      <c r="H981">
        <v>1452</v>
      </c>
      <c r="I981" t="str">
        <f>VLOOKUP(D981,Product_Master!A:D,2,FALSE)</f>
        <v>Mobile</v>
      </c>
      <c r="J981" t="str">
        <f>VLOOKUP(D981,Product_Master!A:D,3,FALSE)</f>
        <v>Electronics</v>
      </c>
      <c r="K981">
        <f>VLOOKUP(D981,Product_Master!A:D,4,FALSE)</f>
        <v>600</v>
      </c>
      <c r="L981" t="str">
        <f>VLOOKUP(C981,Customer_Master!A:C,2,FALSE)</f>
        <v>Reliance</v>
      </c>
      <c r="M981" t="str">
        <f>VLOOKUP(C981,Customer_Master!A:C,3,FALSE)</f>
        <v>Corporate</v>
      </c>
      <c r="N981">
        <f>Table1[[#This Row],[Quantity]]*Table1[[#This Row],[Unit_Price]]</f>
        <v>5808</v>
      </c>
      <c r="O981">
        <f>(Table1[[#This Row],[Unit_Price]]-Table1[[#This Row],[Cost_Price]])*Table1[[#This Row],[Quantity]]</f>
        <v>3408</v>
      </c>
      <c r="P981">
        <f t="shared" si="15"/>
        <v>5808</v>
      </c>
      <c r="Q981" t="str">
        <f>TEXT(Table1[[#This Row],[Order_Date]],"mmm-yyyy")</f>
        <v>Aug-2024</v>
      </c>
    </row>
    <row r="982" spans="1:17" x14ac:dyDescent="0.35">
      <c r="A982" t="s">
        <v>1354</v>
      </c>
      <c r="B982" t="s">
        <v>574</v>
      </c>
      <c r="C982" t="s">
        <v>42</v>
      </c>
      <c r="D982" t="s">
        <v>26</v>
      </c>
      <c r="E982" t="s">
        <v>27</v>
      </c>
      <c r="F982" t="s">
        <v>34</v>
      </c>
      <c r="G982">
        <v>9</v>
      </c>
      <c r="H982">
        <v>1291</v>
      </c>
      <c r="I982" t="str">
        <f>VLOOKUP(D982,Product_Master!A:D,2,FALSE)</f>
        <v>Laptop</v>
      </c>
      <c r="J982" t="str">
        <f>VLOOKUP(D982,Product_Master!A:D,3,FALSE)</f>
        <v>Electronics</v>
      </c>
      <c r="K982">
        <f>VLOOKUP(D982,Product_Master!A:D,4,FALSE)</f>
        <v>900</v>
      </c>
      <c r="L982" t="str">
        <f>VLOOKUP(C982,Customer_Master!A:C,2,FALSE)</f>
        <v>Ramesh</v>
      </c>
      <c r="M982" t="str">
        <f>VLOOKUP(C982,Customer_Master!A:C,3,FALSE)</f>
        <v>Consumer</v>
      </c>
      <c r="N982">
        <f>Table1[[#This Row],[Quantity]]*Table1[[#This Row],[Unit_Price]]</f>
        <v>11619</v>
      </c>
      <c r="O982">
        <f>(Table1[[#This Row],[Unit_Price]]-Table1[[#This Row],[Cost_Price]])*Table1[[#This Row],[Quantity]]</f>
        <v>3519</v>
      </c>
      <c r="P982">
        <f t="shared" si="15"/>
        <v>11619</v>
      </c>
      <c r="Q982" t="str">
        <f>TEXT(Table1[[#This Row],[Order_Date]],"mmm-yyyy")</f>
        <v>Aug-2024</v>
      </c>
    </row>
    <row r="983" spans="1:17" x14ac:dyDescent="0.35">
      <c r="A983" t="s">
        <v>1355</v>
      </c>
      <c r="B983" t="s">
        <v>672</v>
      </c>
      <c r="C983" t="s">
        <v>45</v>
      </c>
      <c r="D983" t="s">
        <v>37</v>
      </c>
      <c r="E983" t="s">
        <v>27</v>
      </c>
      <c r="F983" t="s">
        <v>13</v>
      </c>
      <c r="G983">
        <v>9</v>
      </c>
      <c r="H983">
        <v>1449</v>
      </c>
      <c r="I983" t="str">
        <f>VLOOKUP(D983,Product_Master!A:D,2,FALSE)</f>
        <v>Mobile</v>
      </c>
      <c r="J983" t="str">
        <f>VLOOKUP(D983,Product_Master!A:D,3,FALSE)</f>
        <v>Electronics</v>
      </c>
      <c r="K983">
        <f>VLOOKUP(D983,Product_Master!A:D,4,FALSE)</f>
        <v>600</v>
      </c>
      <c r="L983" t="str">
        <f>VLOOKUP(C983,Customer_Master!A:C,2,FALSE)</f>
        <v>TCS</v>
      </c>
      <c r="M983" t="str">
        <f>VLOOKUP(C983,Customer_Master!A:C,3,FALSE)</f>
        <v>Corporate</v>
      </c>
      <c r="N983">
        <f>Table1[[#This Row],[Quantity]]*Table1[[#This Row],[Unit_Price]]</f>
        <v>13041</v>
      </c>
      <c r="O983">
        <f>(Table1[[#This Row],[Unit_Price]]-Table1[[#This Row],[Cost_Price]])*Table1[[#This Row],[Quantity]]</f>
        <v>7641</v>
      </c>
      <c r="P983">
        <f t="shared" si="15"/>
        <v>13041</v>
      </c>
      <c r="Q983" t="str">
        <f>TEXT(Table1[[#This Row],[Order_Date]],"mmm-yyyy")</f>
        <v>Mar-2024</v>
      </c>
    </row>
    <row r="984" spans="1:17" x14ac:dyDescent="0.35">
      <c r="A984" t="s">
        <v>1356</v>
      </c>
      <c r="B984" t="s">
        <v>940</v>
      </c>
      <c r="C984" t="s">
        <v>21</v>
      </c>
      <c r="D984" t="s">
        <v>37</v>
      </c>
      <c r="E984" t="s">
        <v>12</v>
      </c>
      <c r="F984" t="s">
        <v>18</v>
      </c>
      <c r="G984">
        <v>5</v>
      </c>
      <c r="H984">
        <v>1084</v>
      </c>
      <c r="I984" t="str">
        <f>VLOOKUP(D984,Product_Master!A:D,2,FALSE)</f>
        <v>Mobile</v>
      </c>
      <c r="J984" t="str">
        <f>VLOOKUP(D984,Product_Master!A:D,3,FALSE)</f>
        <v>Electronics</v>
      </c>
      <c r="K984">
        <f>VLOOKUP(D984,Product_Master!A:D,4,FALSE)</f>
        <v>600</v>
      </c>
      <c r="L984" t="str">
        <f>VLOOKUP(C984,Customer_Master!A:C,2,FALSE)</f>
        <v>Reliance</v>
      </c>
      <c r="M984" t="str">
        <f>VLOOKUP(C984,Customer_Master!A:C,3,FALSE)</f>
        <v>Corporate</v>
      </c>
      <c r="N984">
        <f>Table1[[#This Row],[Quantity]]*Table1[[#This Row],[Unit_Price]]</f>
        <v>5420</v>
      </c>
      <c r="O984">
        <f>(Table1[[#This Row],[Unit_Price]]-Table1[[#This Row],[Cost_Price]])*Table1[[#This Row],[Quantity]]</f>
        <v>2420</v>
      </c>
      <c r="P984">
        <f t="shared" si="15"/>
        <v>5420</v>
      </c>
      <c r="Q984" t="str">
        <f>TEXT(Table1[[#This Row],[Order_Date]],"mmm-yyyy")</f>
        <v>Jan-2024</v>
      </c>
    </row>
    <row r="985" spans="1:17" x14ac:dyDescent="0.35">
      <c r="A985" t="s">
        <v>1357</v>
      </c>
      <c r="B985" t="s">
        <v>445</v>
      </c>
      <c r="C985" t="s">
        <v>21</v>
      </c>
      <c r="D985" t="s">
        <v>11</v>
      </c>
      <c r="E985" t="s">
        <v>33</v>
      </c>
      <c r="F985" t="s">
        <v>13</v>
      </c>
      <c r="G985">
        <v>4</v>
      </c>
      <c r="H985">
        <v>1695</v>
      </c>
      <c r="I985" t="str">
        <f>VLOOKUP(D985,Product_Master!A:D,2,FALSE)</f>
        <v>Chair</v>
      </c>
      <c r="J985" t="str">
        <f>VLOOKUP(D985,Product_Master!A:D,3,FALSE)</f>
        <v>Furniture</v>
      </c>
      <c r="K985">
        <f>VLOOKUP(D985,Product_Master!A:D,4,FALSE)</f>
        <v>150</v>
      </c>
      <c r="L985" t="str">
        <f>VLOOKUP(C985,Customer_Master!A:C,2,FALSE)</f>
        <v>Reliance</v>
      </c>
      <c r="M985" t="str">
        <f>VLOOKUP(C985,Customer_Master!A:C,3,FALSE)</f>
        <v>Corporate</v>
      </c>
      <c r="N985">
        <f>Table1[[#This Row],[Quantity]]*Table1[[#This Row],[Unit_Price]]</f>
        <v>6780</v>
      </c>
      <c r="O985">
        <f>(Table1[[#This Row],[Unit_Price]]-Table1[[#This Row],[Cost_Price]])*Table1[[#This Row],[Quantity]]</f>
        <v>6180</v>
      </c>
      <c r="P985">
        <f t="shared" si="15"/>
        <v>6780</v>
      </c>
      <c r="Q985" t="str">
        <f>TEXT(Table1[[#This Row],[Order_Date]],"mmm-yyyy")</f>
        <v>Dec-2024</v>
      </c>
    </row>
    <row r="986" spans="1:17" x14ac:dyDescent="0.35">
      <c r="A986" t="s">
        <v>1358</v>
      </c>
      <c r="B986" t="s">
        <v>374</v>
      </c>
      <c r="C986" t="s">
        <v>42</v>
      </c>
      <c r="D986" t="s">
        <v>11</v>
      </c>
      <c r="E986" t="s">
        <v>33</v>
      </c>
      <c r="F986" t="s">
        <v>23</v>
      </c>
      <c r="G986">
        <v>4</v>
      </c>
      <c r="H986">
        <v>1165</v>
      </c>
      <c r="I986" t="str">
        <f>VLOOKUP(D986,Product_Master!A:D,2,FALSE)</f>
        <v>Chair</v>
      </c>
      <c r="J986" t="str">
        <f>VLOOKUP(D986,Product_Master!A:D,3,FALSE)</f>
        <v>Furniture</v>
      </c>
      <c r="K986">
        <f>VLOOKUP(D986,Product_Master!A:D,4,FALSE)</f>
        <v>150</v>
      </c>
      <c r="L986" t="str">
        <f>VLOOKUP(C986,Customer_Master!A:C,2,FALSE)</f>
        <v>Ramesh</v>
      </c>
      <c r="M986" t="str">
        <f>VLOOKUP(C986,Customer_Master!A:C,3,FALSE)</f>
        <v>Consumer</v>
      </c>
      <c r="N986">
        <f>Table1[[#This Row],[Quantity]]*Table1[[#This Row],[Unit_Price]]</f>
        <v>4660</v>
      </c>
      <c r="O986">
        <f>(Table1[[#This Row],[Unit_Price]]-Table1[[#This Row],[Cost_Price]])*Table1[[#This Row],[Quantity]]</f>
        <v>4060</v>
      </c>
      <c r="P986">
        <f t="shared" si="15"/>
        <v>4660</v>
      </c>
      <c r="Q986" t="str">
        <f>TEXT(Table1[[#This Row],[Order_Date]],"mmm-yyyy")</f>
        <v>Nov-2024</v>
      </c>
    </row>
    <row r="987" spans="1:17" x14ac:dyDescent="0.35">
      <c r="A987" t="s">
        <v>1359</v>
      </c>
      <c r="B987" t="s">
        <v>325</v>
      </c>
      <c r="C987" t="s">
        <v>30</v>
      </c>
      <c r="D987" t="s">
        <v>16</v>
      </c>
      <c r="E987" t="s">
        <v>17</v>
      </c>
      <c r="F987" t="s">
        <v>13</v>
      </c>
      <c r="G987">
        <v>2</v>
      </c>
      <c r="H987">
        <v>1570</v>
      </c>
      <c r="I987" t="str">
        <f>VLOOKUP(D987,Product_Master!A:D,2,FALSE)</f>
        <v>Printer</v>
      </c>
      <c r="J987" t="str">
        <f>VLOOKUP(D987,Product_Master!A:D,3,FALSE)</f>
        <v>Electronics</v>
      </c>
      <c r="K987">
        <f>VLOOKUP(D987,Product_Master!A:D,4,FALSE)</f>
        <v>1100</v>
      </c>
      <c r="L987" t="str">
        <f>VLOOKUP(C987,Customer_Master!A:C,2,FALSE)</f>
        <v>Infosys</v>
      </c>
      <c r="M987" t="str">
        <f>VLOOKUP(C987,Customer_Master!A:C,3,FALSE)</f>
        <v>Corporate</v>
      </c>
      <c r="N987">
        <f>Table1[[#This Row],[Quantity]]*Table1[[#This Row],[Unit_Price]]</f>
        <v>3140</v>
      </c>
      <c r="O987">
        <f>(Table1[[#This Row],[Unit_Price]]-Table1[[#This Row],[Cost_Price]])*Table1[[#This Row],[Quantity]]</f>
        <v>940</v>
      </c>
      <c r="P987">
        <f t="shared" si="15"/>
        <v>3140</v>
      </c>
      <c r="Q987" t="str">
        <f>TEXT(Table1[[#This Row],[Order_Date]],"mmm-yyyy")</f>
        <v>Dec-2024</v>
      </c>
    </row>
    <row r="988" spans="1:17" x14ac:dyDescent="0.35">
      <c r="A988" t="s">
        <v>1360</v>
      </c>
      <c r="B988" t="s">
        <v>401</v>
      </c>
      <c r="C988" t="s">
        <v>21</v>
      </c>
      <c r="D988" t="s">
        <v>22</v>
      </c>
      <c r="E988" t="s">
        <v>33</v>
      </c>
      <c r="F988" t="s">
        <v>18</v>
      </c>
      <c r="G988">
        <v>8</v>
      </c>
      <c r="H988">
        <v>1298</v>
      </c>
      <c r="I988" t="str">
        <f>VLOOKUP(D988,Product_Master!A:D,2,FALSE)</f>
        <v>Desk</v>
      </c>
      <c r="J988" t="str">
        <f>VLOOKUP(D988,Product_Master!A:D,3,FALSE)</f>
        <v>Furniture</v>
      </c>
      <c r="K988">
        <f>VLOOKUP(D988,Product_Master!A:D,4,FALSE)</f>
        <v>300</v>
      </c>
      <c r="L988" t="str">
        <f>VLOOKUP(C988,Customer_Master!A:C,2,FALSE)</f>
        <v>Reliance</v>
      </c>
      <c r="M988" t="str">
        <f>VLOOKUP(C988,Customer_Master!A:C,3,FALSE)</f>
        <v>Corporate</v>
      </c>
      <c r="N988">
        <f>Table1[[#This Row],[Quantity]]*Table1[[#This Row],[Unit_Price]]</f>
        <v>10384</v>
      </c>
      <c r="O988">
        <f>(Table1[[#This Row],[Unit_Price]]-Table1[[#This Row],[Cost_Price]])*Table1[[#This Row],[Quantity]]</f>
        <v>7984</v>
      </c>
      <c r="P988">
        <f t="shared" si="15"/>
        <v>10384</v>
      </c>
      <c r="Q988" t="str">
        <f>TEXT(Table1[[#This Row],[Order_Date]],"mmm-yyyy")</f>
        <v>Sep-2024</v>
      </c>
    </row>
    <row r="989" spans="1:17" x14ac:dyDescent="0.35">
      <c r="A989" t="s">
        <v>1361</v>
      </c>
      <c r="B989" t="s">
        <v>395</v>
      </c>
      <c r="C989" t="s">
        <v>42</v>
      </c>
      <c r="D989" t="s">
        <v>11</v>
      </c>
      <c r="E989" t="s">
        <v>17</v>
      </c>
      <c r="F989" t="s">
        <v>13</v>
      </c>
      <c r="G989">
        <v>1</v>
      </c>
      <c r="H989">
        <v>1814</v>
      </c>
      <c r="I989" t="str">
        <f>VLOOKUP(D989,Product_Master!A:D,2,FALSE)</f>
        <v>Chair</v>
      </c>
      <c r="J989" t="str">
        <f>VLOOKUP(D989,Product_Master!A:D,3,FALSE)</f>
        <v>Furniture</v>
      </c>
      <c r="K989">
        <f>VLOOKUP(D989,Product_Master!A:D,4,FALSE)</f>
        <v>150</v>
      </c>
      <c r="L989" t="str">
        <f>VLOOKUP(C989,Customer_Master!A:C,2,FALSE)</f>
        <v>Ramesh</v>
      </c>
      <c r="M989" t="str">
        <f>VLOOKUP(C989,Customer_Master!A:C,3,FALSE)</f>
        <v>Consumer</v>
      </c>
      <c r="N989">
        <f>Table1[[#This Row],[Quantity]]*Table1[[#This Row],[Unit_Price]]</f>
        <v>1814</v>
      </c>
      <c r="O989">
        <f>(Table1[[#This Row],[Unit_Price]]-Table1[[#This Row],[Cost_Price]])*Table1[[#This Row],[Quantity]]</f>
        <v>1664</v>
      </c>
      <c r="P989">
        <f t="shared" si="15"/>
        <v>1814</v>
      </c>
      <c r="Q989" t="str">
        <f>TEXT(Table1[[#This Row],[Order_Date]],"mmm-yyyy")</f>
        <v>Jan-2024</v>
      </c>
    </row>
    <row r="990" spans="1:17" x14ac:dyDescent="0.35">
      <c r="A990" t="s">
        <v>1362</v>
      </c>
      <c r="B990" t="s">
        <v>226</v>
      </c>
      <c r="C990" t="s">
        <v>42</v>
      </c>
      <c r="D990" t="s">
        <v>22</v>
      </c>
      <c r="E990" t="s">
        <v>27</v>
      </c>
      <c r="F990" t="s">
        <v>13</v>
      </c>
      <c r="G990">
        <v>9</v>
      </c>
      <c r="H990">
        <v>1184</v>
      </c>
      <c r="I990" t="str">
        <f>VLOOKUP(D990,Product_Master!A:D,2,FALSE)</f>
        <v>Desk</v>
      </c>
      <c r="J990" t="str">
        <f>VLOOKUP(D990,Product_Master!A:D,3,FALSE)</f>
        <v>Furniture</v>
      </c>
      <c r="K990">
        <f>VLOOKUP(D990,Product_Master!A:D,4,FALSE)</f>
        <v>300</v>
      </c>
      <c r="L990" t="str">
        <f>VLOOKUP(C990,Customer_Master!A:C,2,FALSE)</f>
        <v>Ramesh</v>
      </c>
      <c r="M990" t="str">
        <f>VLOOKUP(C990,Customer_Master!A:C,3,FALSE)</f>
        <v>Consumer</v>
      </c>
      <c r="N990">
        <f>Table1[[#This Row],[Quantity]]*Table1[[#This Row],[Unit_Price]]</f>
        <v>10656</v>
      </c>
      <c r="O990">
        <f>(Table1[[#This Row],[Unit_Price]]-Table1[[#This Row],[Cost_Price]])*Table1[[#This Row],[Quantity]]</f>
        <v>7956</v>
      </c>
      <c r="P990">
        <f t="shared" si="15"/>
        <v>10656</v>
      </c>
      <c r="Q990" t="str">
        <f>TEXT(Table1[[#This Row],[Order_Date]],"mmm-yyyy")</f>
        <v>May-2024</v>
      </c>
    </row>
    <row r="991" spans="1:17" x14ac:dyDescent="0.35">
      <c r="A991" t="s">
        <v>1363</v>
      </c>
      <c r="B991" t="s">
        <v>246</v>
      </c>
      <c r="C991" t="s">
        <v>42</v>
      </c>
      <c r="D991" t="s">
        <v>26</v>
      </c>
      <c r="E991" t="s">
        <v>27</v>
      </c>
      <c r="F991" t="s">
        <v>23</v>
      </c>
      <c r="G991">
        <v>7</v>
      </c>
      <c r="H991">
        <v>1469</v>
      </c>
      <c r="I991" t="str">
        <f>VLOOKUP(D991,Product_Master!A:D,2,FALSE)</f>
        <v>Laptop</v>
      </c>
      <c r="J991" t="str">
        <f>VLOOKUP(D991,Product_Master!A:D,3,FALSE)</f>
        <v>Electronics</v>
      </c>
      <c r="K991">
        <f>VLOOKUP(D991,Product_Master!A:D,4,FALSE)</f>
        <v>900</v>
      </c>
      <c r="L991" t="str">
        <f>VLOOKUP(C991,Customer_Master!A:C,2,FALSE)</f>
        <v>Ramesh</v>
      </c>
      <c r="M991" t="str">
        <f>VLOOKUP(C991,Customer_Master!A:C,3,FALSE)</f>
        <v>Consumer</v>
      </c>
      <c r="N991">
        <f>Table1[[#This Row],[Quantity]]*Table1[[#This Row],[Unit_Price]]</f>
        <v>10283</v>
      </c>
      <c r="O991">
        <f>(Table1[[#This Row],[Unit_Price]]-Table1[[#This Row],[Cost_Price]])*Table1[[#This Row],[Quantity]]</f>
        <v>3983</v>
      </c>
      <c r="P991">
        <f t="shared" si="15"/>
        <v>10283</v>
      </c>
      <c r="Q991" t="str">
        <f>TEXT(Table1[[#This Row],[Order_Date]],"mmm-yyyy")</f>
        <v>Jul-2024</v>
      </c>
    </row>
    <row r="992" spans="1:17" x14ac:dyDescent="0.35">
      <c r="A992" t="s">
        <v>1364</v>
      </c>
      <c r="B992" t="s">
        <v>80</v>
      </c>
      <c r="C992" t="s">
        <v>10</v>
      </c>
      <c r="D992" t="s">
        <v>11</v>
      </c>
      <c r="E992" t="s">
        <v>27</v>
      </c>
      <c r="F992" t="s">
        <v>18</v>
      </c>
      <c r="G992">
        <v>7</v>
      </c>
      <c r="H992">
        <v>1016</v>
      </c>
      <c r="I992" t="str">
        <f>VLOOKUP(D992,Product_Master!A:D,2,FALSE)</f>
        <v>Chair</v>
      </c>
      <c r="J992" t="str">
        <f>VLOOKUP(D992,Product_Master!A:D,3,FALSE)</f>
        <v>Furniture</v>
      </c>
      <c r="K992">
        <f>VLOOKUP(D992,Product_Master!A:D,4,FALSE)</f>
        <v>150</v>
      </c>
      <c r="L992" t="str">
        <f>VLOOKUP(C992,Customer_Master!A:C,2,FALSE)</f>
        <v>Suresh</v>
      </c>
      <c r="M992" t="str">
        <f>VLOOKUP(C992,Customer_Master!A:C,3,FALSE)</f>
        <v>Consumer</v>
      </c>
      <c r="N992">
        <f>Table1[[#This Row],[Quantity]]*Table1[[#This Row],[Unit_Price]]</f>
        <v>7112</v>
      </c>
      <c r="O992">
        <f>(Table1[[#This Row],[Unit_Price]]-Table1[[#This Row],[Cost_Price]])*Table1[[#This Row],[Quantity]]</f>
        <v>6062</v>
      </c>
      <c r="P992">
        <f t="shared" si="15"/>
        <v>7112</v>
      </c>
      <c r="Q992" t="str">
        <f>TEXT(Table1[[#This Row],[Order_Date]],"mmm-yyyy")</f>
        <v>Dec-2024</v>
      </c>
    </row>
    <row r="993" spans="1:17" x14ac:dyDescent="0.35">
      <c r="A993" t="s">
        <v>1365</v>
      </c>
      <c r="B993" t="s">
        <v>246</v>
      </c>
      <c r="C993" t="s">
        <v>21</v>
      </c>
      <c r="D993" t="s">
        <v>22</v>
      </c>
      <c r="E993" t="s">
        <v>17</v>
      </c>
      <c r="F993" t="s">
        <v>23</v>
      </c>
      <c r="G993">
        <v>4</v>
      </c>
      <c r="H993">
        <v>867</v>
      </c>
      <c r="I993" t="str">
        <f>VLOOKUP(D993,Product_Master!A:D,2,FALSE)</f>
        <v>Desk</v>
      </c>
      <c r="J993" t="str">
        <f>VLOOKUP(D993,Product_Master!A:D,3,FALSE)</f>
        <v>Furniture</v>
      </c>
      <c r="K993">
        <f>VLOOKUP(D993,Product_Master!A:D,4,FALSE)</f>
        <v>300</v>
      </c>
      <c r="L993" t="str">
        <f>VLOOKUP(C993,Customer_Master!A:C,2,FALSE)</f>
        <v>Reliance</v>
      </c>
      <c r="M993" t="str">
        <f>VLOOKUP(C993,Customer_Master!A:C,3,FALSE)</f>
        <v>Corporate</v>
      </c>
      <c r="N993">
        <f>Table1[[#This Row],[Quantity]]*Table1[[#This Row],[Unit_Price]]</f>
        <v>3468</v>
      </c>
      <c r="O993">
        <f>(Table1[[#This Row],[Unit_Price]]-Table1[[#This Row],[Cost_Price]])*Table1[[#This Row],[Quantity]]</f>
        <v>2268</v>
      </c>
      <c r="P993">
        <f t="shared" si="15"/>
        <v>3468</v>
      </c>
      <c r="Q993" t="str">
        <f>TEXT(Table1[[#This Row],[Order_Date]],"mmm-yyyy")</f>
        <v>Jul-2024</v>
      </c>
    </row>
    <row r="994" spans="1:17" x14ac:dyDescent="0.35">
      <c r="A994" t="s">
        <v>1366</v>
      </c>
      <c r="B994" t="s">
        <v>765</v>
      </c>
      <c r="C994" t="s">
        <v>21</v>
      </c>
      <c r="D994" t="s">
        <v>16</v>
      </c>
      <c r="E994" t="s">
        <v>12</v>
      </c>
      <c r="F994" t="s">
        <v>23</v>
      </c>
      <c r="G994">
        <v>6</v>
      </c>
      <c r="H994">
        <v>1135</v>
      </c>
      <c r="I994" t="str">
        <f>VLOOKUP(D994,Product_Master!A:D,2,FALSE)</f>
        <v>Printer</v>
      </c>
      <c r="J994" t="str">
        <f>VLOOKUP(D994,Product_Master!A:D,3,FALSE)</f>
        <v>Electronics</v>
      </c>
      <c r="K994">
        <f>VLOOKUP(D994,Product_Master!A:D,4,FALSE)</f>
        <v>1100</v>
      </c>
      <c r="L994" t="str">
        <f>VLOOKUP(C994,Customer_Master!A:C,2,FALSE)</f>
        <v>Reliance</v>
      </c>
      <c r="M994" t="str">
        <f>VLOOKUP(C994,Customer_Master!A:C,3,FALSE)</f>
        <v>Corporate</v>
      </c>
      <c r="N994">
        <f>Table1[[#This Row],[Quantity]]*Table1[[#This Row],[Unit_Price]]</f>
        <v>6810</v>
      </c>
      <c r="O994">
        <f>(Table1[[#This Row],[Unit_Price]]-Table1[[#This Row],[Cost_Price]])*Table1[[#This Row],[Quantity]]</f>
        <v>210</v>
      </c>
      <c r="P994">
        <f t="shared" si="15"/>
        <v>6810</v>
      </c>
      <c r="Q994" t="str">
        <f>TEXT(Table1[[#This Row],[Order_Date]],"mmm-yyyy")</f>
        <v>Dec-2024</v>
      </c>
    </row>
    <row r="995" spans="1:17" x14ac:dyDescent="0.35">
      <c r="A995" t="s">
        <v>1367</v>
      </c>
      <c r="B995" t="s">
        <v>574</v>
      </c>
      <c r="C995" t="s">
        <v>30</v>
      </c>
      <c r="D995" t="s">
        <v>11</v>
      </c>
      <c r="E995" t="s">
        <v>33</v>
      </c>
      <c r="F995" t="s">
        <v>34</v>
      </c>
      <c r="G995">
        <v>8</v>
      </c>
      <c r="H995">
        <v>943</v>
      </c>
      <c r="I995" t="str">
        <f>VLOOKUP(D995,Product_Master!A:D,2,FALSE)</f>
        <v>Chair</v>
      </c>
      <c r="J995" t="str">
        <f>VLOOKUP(D995,Product_Master!A:D,3,FALSE)</f>
        <v>Furniture</v>
      </c>
      <c r="K995">
        <f>VLOOKUP(D995,Product_Master!A:D,4,FALSE)</f>
        <v>150</v>
      </c>
      <c r="L995" t="str">
        <f>VLOOKUP(C995,Customer_Master!A:C,2,FALSE)</f>
        <v>Infosys</v>
      </c>
      <c r="M995" t="str">
        <f>VLOOKUP(C995,Customer_Master!A:C,3,FALSE)</f>
        <v>Corporate</v>
      </c>
      <c r="N995">
        <f>Table1[[#This Row],[Quantity]]*Table1[[#This Row],[Unit_Price]]</f>
        <v>7544</v>
      </c>
      <c r="O995">
        <f>(Table1[[#This Row],[Unit_Price]]-Table1[[#This Row],[Cost_Price]])*Table1[[#This Row],[Quantity]]</f>
        <v>6344</v>
      </c>
      <c r="P995">
        <f t="shared" si="15"/>
        <v>7544</v>
      </c>
      <c r="Q995" t="str">
        <f>TEXT(Table1[[#This Row],[Order_Date]],"mmm-yyyy")</f>
        <v>Aug-2024</v>
      </c>
    </row>
    <row r="996" spans="1:17" x14ac:dyDescent="0.35">
      <c r="A996" t="s">
        <v>1368</v>
      </c>
      <c r="B996" t="s">
        <v>873</v>
      </c>
      <c r="C996" t="s">
        <v>30</v>
      </c>
      <c r="D996" t="s">
        <v>16</v>
      </c>
      <c r="E996" t="s">
        <v>17</v>
      </c>
      <c r="F996" t="s">
        <v>34</v>
      </c>
      <c r="G996">
        <v>5</v>
      </c>
      <c r="H996">
        <v>1269</v>
      </c>
      <c r="I996" t="str">
        <f>VLOOKUP(D996,Product_Master!A:D,2,FALSE)</f>
        <v>Printer</v>
      </c>
      <c r="J996" t="str">
        <f>VLOOKUP(D996,Product_Master!A:D,3,FALSE)</f>
        <v>Electronics</v>
      </c>
      <c r="K996">
        <f>VLOOKUP(D996,Product_Master!A:D,4,FALSE)</f>
        <v>1100</v>
      </c>
      <c r="L996" t="str">
        <f>VLOOKUP(C996,Customer_Master!A:C,2,FALSE)</f>
        <v>Infosys</v>
      </c>
      <c r="M996" t="str">
        <f>VLOOKUP(C996,Customer_Master!A:C,3,FALSE)</f>
        <v>Corporate</v>
      </c>
      <c r="N996">
        <f>Table1[[#This Row],[Quantity]]*Table1[[#This Row],[Unit_Price]]</f>
        <v>6345</v>
      </c>
      <c r="O996">
        <f>(Table1[[#This Row],[Unit_Price]]-Table1[[#This Row],[Cost_Price]])*Table1[[#This Row],[Quantity]]</f>
        <v>845</v>
      </c>
      <c r="P996">
        <f t="shared" si="15"/>
        <v>6345</v>
      </c>
      <c r="Q996" t="str">
        <f>TEXT(Table1[[#This Row],[Order_Date]],"mmm-yyyy")</f>
        <v>Sep-2024</v>
      </c>
    </row>
    <row r="997" spans="1:17" x14ac:dyDescent="0.35">
      <c r="A997" t="s">
        <v>1369</v>
      </c>
      <c r="B997" t="s">
        <v>165</v>
      </c>
      <c r="C997" t="s">
        <v>30</v>
      </c>
      <c r="D997" t="s">
        <v>22</v>
      </c>
      <c r="E997" t="s">
        <v>17</v>
      </c>
      <c r="F997" t="s">
        <v>18</v>
      </c>
      <c r="G997">
        <v>6</v>
      </c>
      <c r="H997">
        <v>1085</v>
      </c>
      <c r="I997" t="str">
        <f>VLOOKUP(D997,Product_Master!A:D,2,FALSE)</f>
        <v>Desk</v>
      </c>
      <c r="J997" t="str">
        <f>VLOOKUP(D997,Product_Master!A:D,3,FALSE)</f>
        <v>Furniture</v>
      </c>
      <c r="K997">
        <f>VLOOKUP(D997,Product_Master!A:D,4,FALSE)</f>
        <v>300</v>
      </c>
      <c r="L997" t="str">
        <f>VLOOKUP(C997,Customer_Master!A:C,2,FALSE)</f>
        <v>Infosys</v>
      </c>
      <c r="M997" t="str">
        <f>VLOOKUP(C997,Customer_Master!A:C,3,FALSE)</f>
        <v>Corporate</v>
      </c>
      <c r="N997">
        <f>Table1[[#This Row],[Quantity]]*Table1[[#This Row],[Unit_Price]]</f>
        <v>6510</v>
      </c>
      <c r="O997">
        <f>(Table1[[#This Row],[Unit_Price]]-Table1[[#This Row],[Cost_Price]])*Table1[[#This Row],[Quantity]]</f>
        <v>4710</v>
      </c>
      <c r="P997">
        <f t="shared" si="15"/>
        <v>6510</v>
      </c>
      <c r="Q997" t="str">
        <f>TEXT(Table1[[#This Row],[Order_Date]],"mmm-yyyy")</f>
        <v>Feb-2024</v>
      </c>
    </row>
    <row r="998" spans="1:17" x14ac:dyDescent="0.35">
      <c r="A998" t="s">
        <v>1370</v>
      </c>
      <c r="B998" t="s">
        <v>20</v>
      </c>
      <c r="C998" t="s">
        <v>45</v>
      </c>
      <c r="D998" t="s">
        <v>22</v>
      </c>
      <c r="E998" t="s">
        <v>17</v>
      </c>
      <c r="F998" t="s">
        <v>18</v>
      </c>
      <c r="G998">
        <v>4</v>
      </c>
      <c r="H998">
        <v>1074</v>
      </c>
      <c r="I998" t="str">
        <f>VLOOKUP(D998,Product_Master!A:D,2,FALSE)</f>
        <v>Desk</v>
      </c>
      <c r="J998" t="str">
        <f>VLOOKUP(D998,Product_Master!A:D,3,FALSE)</f>
        <v>Furniture</v>
      </c>
      <c r="K998">
        <f>VLOOKUP(D998,Product_Master!A:D,4,FALSE)</f>
        <v>300</v>
      </c>
      <c r="L998" t="str">
        <f>VLOOKUP(C998,Customer_Master!A:C,2,FALSE)</f>
        <v>TCS</v>
      </c>
      <c r="M998" t="str">
        <f>VLOOKUP(C998,Customer_Master!A:C,3,FALSE)</f>
        <v>Corporate</v>
      </c>
      <c r="N998">
        <f>Table1[[#This Row],[Quantity]]*Table1[[#This Row],[Unit_Price]]</f>
        <v>4296</v>
      </c>
      <c r="O998">
        <f>(Table1[[#This Row],[Unit_Price]]-Table1[[#This Row],[Cost_Price]])*Table1[[#This Row],[Quantity]]</f>
        <v>3096</v>
      </c>
      <c r="P998">
        <f t="shared" si="15"/>
        <v>4296</v>
      </c>
      <c r="Q998" t="str">
        <f>TEXT(Table1[[#This Row],[Order_Date]],"mmm-yyyy")</f>
        <v>Apr-2024</v>
      </c>
    </row>
    <row r="999" spans="1:17" x14ac:dyDescent="0.35">
      <c r="A999" t="s">
        <v>1371</v>
      </c>
      <c r="B999" t="s">
        <v>269</v>
      </c>
      <c r="C999" t="s">
        <v>42</v>
      </c>
      <c r="D999" t="s">
        <v>26</v>
      </c>
      <c r="E999" t="s">
        <v>17</v>
      </c>
      <c r="F999" t="s">
        <v>23</v>
      </c>
      <c r="G999">
        <v>9</v>
      </c>
      <c r="H999">
        <v>1713</v>
      </c>
      <c r="I999" t="str">
        <f>VLOOKUP(D999,Product_Master!A:D,2,FALSE)</f>
        <v>Laptop</v>
      </c>
      <c r="J999" t="str">
        <f>VLOOKUP(D999,Product_Master!A:D,3,FALSE)</f>
        <v>Electronics</v>
      </c>
      <c r="K999">
        <f>VLOOKUP(D999,Product_Master!A:D,4,FALSE)</f>
        <v>900</v>
      </c>
      <c r="L999" t="str">
        <f>VLOOKUP(C999,Customer_Master!A:C,2,FALSE)</f>
        <v>Ramesh</v>
      </c>
      <c r="M999" t="str">
        <f>VLOOKUP(C999,Customer_Master!A:C,3,FALSE)</f>
        <v>Consumer</v>
      </c>
      <c r="N999">
        <f>Table1[[#This Row],[Quantity]]*Table1[[#This Row],[Unit_Price]]</f>
        <v>15417</v>
      </c>
      <c r="O999">
        <f>(Table1[[#This Row],[Unit_Price]]-Table1[[#This Row],[Cost_Price]])*Table1[[#This Row],[Quantity]]</f>
        <v>7317</v>
      </c>
      <c r="P999">
        <f t="shared" si="15"/>
        <v>15417</v>
      </c>
      <c r="Q999" t="str">
        <f>TEXT(Table1[[#This Row],[Order_Date]],"mmm-yyyy")</f>
        <v>Apr-2024</v>
      </c>
    </row>
    <row r="1000" spans="1:17" x14ac:dyDescent="0.35">
      <c r="A1000" t="s">
        <v>1372</v>
      </c>
      <c r="B1000" t="s">
        <v>72</v>
      </c>
      <c r="C1000" t="s">
        <v>30</v>
      </c>
      <c r="D1000" t="s">
        <v>11</v>
      </c>
      <c r="E1000" t="s">
        <v>27</v>
      </c>
      <c r="F1000" t="s">
        <v>13</v>
      </c>
      <c r="G1000">
        <v>8</v>
      </c>
      <c r="H1000">
        <v>1484</v>
      </c>
      <c r="I1000" t="str">
        <f>VLOOKUP(D1000,Product_Master!A:D,2,FALSE)</f>
        <v>Chair</v>
      </c>
      <c r="J1000" t="str">
        <f>VLOOKUP(D1000,Product_Master!A:D,3,FALSE)</f>
        <v>Furniture</v>
      </c>
      <c r="K1000">
        <f>VLOOKUP(D1000,Product_Master!A:D,4,FALSE)</f>
        <v>150</v>
      </c>
      <c r="L1000" t="str">
        <f>VLOOKUP(C1000,Customer_Master!A:C,2,FALSE)</f>
        <v>Infosys</v>
      </c>
      <c r="M1000" t="str">
        <f>VLOOKUP(C1000,Customer_Master!A:C,3,FALSE)</f>
        <v>Corporate</v>
      </c>
      <c r="N1000">
        <f>Table1[[#This Row],[Quantity]]*Table1[[#This Row],[Unit_Price]]</f>
        <v>11872</v>
      </c>
      <c r="O1000">
        <f>(Table1[[#This Row],[Unit_Price]]-Table1[[#This Row],[Cost_Price]])*Table1[[#This Row],[Quantity]]</f>
        <v>10672</v>
      </c>
      <c r="P1000">
        <f t="shared" si="15"/>
        <v>11872</v>
      </c>
      <c r="Q1000" t="str">
        <f>TEXT(Table1[[#This Row],[Order_Date]],"mmm-yyyy")</f>
        <v>Mar-2024</v>
      </c>
    </row>
    <row r="1001" spans="1:17" x14ac:dyDescent="0.35">
      <c r="A1001" t="s">
        <v>1373</v>
      </c>
      <c r="B1001" t="s">
        <v>1374</v>
      </c>
      <c r="C1001" t="s">
        <v>30</v>
      </c>
      <c r="D1001" t="s">
        <v>16</v>
      </c>
      <c r="E1001" t="s">
        <v>17</v>
      </c>
      <c r="F1001" t="s">
        <v>23</v>
      </c>
      <c r="G1001">
        <v>9</v>
      </c>
      <c r="H1001">
        <v>1022</v>
      </c>
      <c r="I1001" t="str">
        <f>VLOOKUP(D1001,Product_Master!A:D,2,FALSE)</f>
        <v>Printer</v>
      </c>
      <c r="J1001" t="str">
        <f>VLOOKUP(D1001,Product_Master!A:D,3,FALSE)</f>
        <v>Electronics</v>
      </c>
      <c r="K1001">
        <f>VLOOKUP(D1001,Product_Master!A:D,4,FALSE)</f>
        <v>1100</v>
      </c>
      <c r="L1001" t="str">
        <f>VLOOKUP(C1001,Customer_Master!A:C,2,FALSE)</f>
        <v>Infosys</v>
      </c>
      <c r="M1001" t="str">
        <f>VLOOKUP(C1001,Customer_Master!A:C,3,FALSE)</f>
        <v>Corporate</v>
      </c>
      <c r="N1001">
        <f>Table1[[#This Row],[Quantity]]*Table1[[#This Row],[Unit_Price]]</f>
        <v>9198</v>
      </c>
      <c r="O1001">
        <f>(Table1[[#This Row],[Unit_Price]]-Table1[[#This Row],[Cost_Price]])*Table1[[#This Row],[Quantity]]</f>
        <v>-702</v>
      </c>
      <c r="P1001">
        <f t="shared" si="15"/>
        <v>9198</v>
      </c>
      <c r="Q1001" t="str">
        <f>TEXT(Table1[[#This Row],[Order_Date]],"mmm-yyyy")</f>
        <v>Jan-2024</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
  <sheetViews>
    <sheetView workbookViewId="0"/>
  </sheetViews>
  <sheetFormatPr defaultRowHeight="14.5" x14ac:dyDescent="0.35"/>
  <sheetData>
    <row r="1" spans="1:4" x14ac:dyDescent="0.35">
      <c r="A1" t="s">
        <v>3</v>
      </c>
      <c r="B1" t="s">
        <v>1375</v>
      </c>
      <c r="C1" t="s">
        <v>1376</v>
      </c>
      <c r="D1" t="s">
        <v>1377</v>
      </c>
    </row>
    <row r="2" spans="1:4" x14ac:dyDescent="0.35">
      <c r="A2" t="s">
        <v>26</v>
      </c>
      <c r="B2" t="s">
        <v>1378</v>
      </c>
      <c r="C2" t="s">
        <v>1379</v>
      </c>
      <c r="D2">
        <v>900</v>
      </c>
    </row>
    <row r="3" spans="1:4" x14ac:dyDescent="0.35">
      <c r="A3" t="s">
        <v>16</v>
      </c>
      <c r="B3" t="s">
        <v>1380</v>
      </c>
      <c r="C3" t="s">
        <v>1379</v>
      </c>
      <c r="D3">
        <v>1100</v>
      </c>
    </row>
    <row r="4" spans="1:4" x14ac:dyDescent="0.35">
      <c r="A4" t="s">
        <v>37</v>
      </c>
      <c r="B4" t="s">
        <v>1381</v>
      </c>
      <c r="C4" t="s">
        <v>1379</v>
      </c>
      <c r="D4">
        <v>600</v>
      </c>
    </row>
    <row r="5" spans="1:4" x14ac:dyDescent="0.35">
      <c r="A5" t="s">
        <v>22</v>
      </c>
      <c r="B5" t="s">
        <v>1382</v>
      </c>
      <c r="C5" t="s">
        <v>1383</v>
      </c>
      <c r="D5">
        <v>300</v>
      </c>
    </row>
    <row r="6" spans="1:4" x14ac:dyDescent="0.35">
      <c r="A6" t="s">
        <v>11</v>
      </c>
      <c r="B6" t="s">
        <v>1384</v>
      </c>
      <c r="C6" t="s">
        <v>1383</v>
      </c>
      <c r="D6">
        <v>150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
  <sheetViews>
    <sheetView workbookViewId="0"/>
  </sheetViews>
  <sheetFormatPr defaultRowHeight="14.5" x14ac:dyDescent="0.35"/>
  <sheetData>
    <row r="1" spans="1:3" x14ac:dyDescent="0.35">
      <c r="A1" t="s">
        <v>2</v>
      </c>
      <c r="B1" t="s">
        <v>1385</v>
      </c>
      <c r="C1" t="s">
        <v>1386</v>
      </c>
    </row>
    <row r="2" spans="1:3" x14ac:dyDescent="0.35">
      <c r="A2" t="s">
        <v>30</v>
      </c>
      <c r="B2" t="s">
        <v>1387</v>
      </c>
      <c r="C2" t="s">
        <v>1388</v>
      </c>
    </row>
    <row r="3" spans="1:3" x14ac:dyDescent="0.35">
      <c r="A3" t="s">
        <v>45</v>
      </c>
      <c r="B3" t="s">
        <v>1389</v>
      </c>
      <c r="C3" t="s">
        <v>1388</v>
      </c>
    </row>
    <row r="4" spans="1:3" x14ac:dyDescent="0.35">
      <c r="A4" t="s">
        <v>42</v>
      </c>
      <c r="B4" t="s">
        <v>1390</v>
      </c>
      <c r="C4" t="s">
        <v>1391</v>
      </c>
    </row>
    <row r="5" spans="1:3" x14ac:dyDescent="0.35">
      <c r="A5" t="s">
        <v>10</v>
      </c>
      <c r="B5" t="s">
        <v>1392</v>
      </c>
      <c r="C5" t="s">
        <v>1391</v>
      </c>
    </row>
    <row r="6" spans="1:3" x14ac:dyDescent="0.35">
      <c r="A6" t="s">
        <v>21</v>
      </c>
      <c r="B6" t="s">
        <v>1393</v>
      </c>
      <c r="C6" t="s">
        <v>1388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DB06F-F44D-4902-9E32-EEAE3F6D1DED}">
  <dimension ref="A1:B67"/>
  <sheetViews>
    <sheetView topLeftCell="B65" zoomScale="69" workbookViewId="0">
      <selection activeCell="D73" sqref="D73"/>
    </sheetView>
  </sheetViews>
  <sheetFormatPr defaultRowHeight="14.5" x14ac:dyDescent="0.35"/>
  <cols>
    <col min="1" max="1" width="12.36328125" bestFit="1" customWidth="1"/>
    <col min="2" max="2" width="16.6328125" bestFit="1" customWidth="1"/>
  </cols>
  <sheetData>
    <row r="1" spans="1:2" x14ac:dyDescent="0.35">
      <c r="A1" t="s">
        <v>1399</v>
      </c>
    </row>
    <row r="3" spans="1:2" x14ac:dyDescent="0.35">
      <c r="A3" s="1" t="s">
        <v>1396</v>
      </c>
      <c r="B3" t="s">
        <v>1398</v>
      </c>
    </row>
    <row r="4" spans="1:2" x14ac:dyDescent="0.35">
      <c r="A4" s="2" t="s">
        <v>33</v>
      </c>
      <c r="B4">
        <v>1805461</v>
      </c>
    </row>
    <row r="5" spans="1:2" x14ac:dyDescent="0.35">
      <c r="A5" s="2" t="s">
        <v>12</v>
      </c>
      <c r="B5">
        <v>1887352</v>
      </c>
    </row>
    <row r="6" spans="1:2" x14ac:dyDescent="0.35">
      <c r="A6" s="2" t="s">
        <v>17</v>
      </c>
      <c r="B6">
        <v>1828407</v>
      </c>
    </row>
    <row r="7" spans="1:2" x14ac:dyDescent="0.35">
      <c r="A7" s="2" t="s">
        <v>27</v>
      </c>
      <c r="B7">
        <v>1871878</v>
      </c>
    </row>
    <row r="8" spans="1:2" x14ac:dyDescent="0.35">
      <c r="A8" s="2" t="s">
        <v>1397</v>
      </c>
      <c r="B8">
        <v>7393098</v>
      </c>
    </row>
    <row r="19" spans="1:2" x14ac:dyDescent="0.35">
      <c r="A19" t="s">
        <v>1401</v>
      </c>
    </row>
    <row r="21" spans="1:2" x14ac:dyDescent="0.35">
      <c r="A21" s="1" t="s">
        <v>1396</v>
      </c>
      <c r="B21" t="s">
        <v>1400</v>
      </c>
    </row>
    <row r="22" spans="1:2" x14ac:dyDescent="0.35">
      <c r="A22" s="2" t="s">
        <v>1379</v>
      </c>
      <c r="B22">
        <v>1660369</v>
      </c>
    </row>
    <row r="23" spans="1:2" x14ac:dyDescent="0.35">
      <c r="A23" s="2" t="s">
        <v>1383</v>
      </c>
      <c r="B23">
        <v>2501279</v>
      </c>
    </row>
    <row r="24" spans="1:2" x14ac:dyDescent="0.35">
      <c r="A24" s="2" t="s">
        <v>1397</v>
      </c>
      <c r="B24">
        <v>4161648</v>
      </c>
    </row>
    <row r="38" spans="1:2" x14ac:dyDescent="0.35">
      <c r="A38" t="s">
        <v>1402</v>
      </c>
    </row>
    <row r="40" spans="1:2" x14ac:dyDescent="0.35">
      <c r="A40" s="1" t="s">
        <v>1396</v>
      </c>
      <c r="B40" t="s">
        <v>1398</v>
      </c>
    </row>
    <row r="41" spans="1:2" x14ac:dyDescent="0.35">
      <c r="A41" s="2" t="s">
        <v>13</v>
      </c>
      <c r="B41">
        <v>1959225</v>
      </c>
    </row>
    <row r="42" spans="1:2" x14ac:dyDescent="0.35">
      <c r="A42" s="2" t="s">
        <v>23</v>
      </c>
      <c r="B42">
        <v>2022859</v>
      </c>
    </row>
    <row r="43" spans="1:2" x14ac:dyDescent="0.35">
      <c r="A43" s="2" t="s">
        <v>18</v>
      </c>
      <c r="B43">
        <v>1766057</v>
      </c>
    </row>
    <row r="44" spans="1:2" x14ac:dyDescent="0.35">
      <c r="A44" s="2" t="s">
        <v>34</v>
      </c>
      <c r="B44">
        <v>1644957</v>
      </c>
    </row>
    <row r="45" spans="1:2" x14ac:dyDescent="0.35">
      <c r="A45" s="2" t="s">
        <v>1397</v>
      </c>
      <c r="B45">
        <v>7393098</v>
      </c>
    </row>
    <row r="59" spans="1:2" x14ac:dyDescent="0.35">
      <c r="A59" t="s">
        <v>1403</v>
      </c>
    </row>
    <row r="61" spans="1:2" x14ac:dyDescent="0.35">
      <c r="A61" s="1" t="s">
        <v>1396</v>
      </c>
      <c r="B61" t="s">
        <v>1398</v>
      </c>
    </row>
    <row r="62" spans="1:2" x14ac:dyDescent="0.35">
      <c r="A62" s="2" t="s">
        <v>1389</v>
      </c>
      <c r="B62">
        <v>1397599</v>
      </c>
    </row>
    <row r="63" spans="1:2" x14ac:dyDescent="0.35">
      <c r="A63" s="2" t="s">
        <v>1392</v>
      </c>
      <c r="B63">
        <v>1637548</v>
      </c>
    </row>
    <row r="64" spans="1:2" x14ac:dyDescent="0.35">
      <c r="A64" s="2" t="s">
        <v>1393</v>
      </c>
      <c r="B64">
        <v>1513068</v>
      </c>
    </row>
    <row r="65" spans="1:2" x14ac:dyDescent="0.35">
      <c r="A65" s="2" t="s">
        <v>1390</v>
      </c>
      <c r="B65">
        <v>1446486</v>
      </c>
    </row>
    <row r="66" spans="1:2" x14ac:dyDescent="0.35">
      <c r="A66" s="2" t="s">
        <v>1387</v>
      </c>
      <c r="B66">
        <v>1398397</v>
      </c>
    </row>
    <row r="67" spans="1:2" x14ac:dyDescent="0.35">
      <c r="A67" s="2" t="s">
        <v>1397</v>
      </c>
      <c r="B67">
        <v>7393098</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2CBB9-F3B2-46C5-A264-2BBAAC02EC90}">
  <sheetPr>
    <pageSetUpPr fitToPage="1"/>
  </sheetPr>
  <dimension ref="D1:V65"/>
  <sheetViews>
    <sheetView tabSelected="1" zoomScale="23" zoomScaleNormal="25" workbookViewId="0">
      <selection activeCell="F1" sqref="F1:W64"/>
    </sheetView>
  </sheetViews>
  <sheetFormatPr defaultRowHeight="14.5" x14ac:dyDescent="0.35"/>
  <cols>
    <col min="2" max="2" width="21.81640625" customWidth="1"/>
    <col min="4" max="4" width="32.453125" customWidth="1"/>
    <col min="5" max="5" width="29.26953125" customWidth="1"/>
    <col min="6" max="6" width="21" customWidth="1"/>
    <col min="7" max="7" width="15.7265625" customWidth="1"/>
    <col min="8" max="8" width="34.26953125" customWidth="1"/>
    <col min="9" max="9" width="30" customWidth="1"/>
    <col min="10" max="10" width="34.453125" customWidth="1"/>
    <col min="11" max="11" width="21.81640625" customWidth="1"/>
    <col min="13" max="13" width="30" customWidth="1"/>
    <col min="16" max="16" width="20.08984375" customWidth="1"/>
    <col min="20" max="20" width="29.26953125" customWidth="1"/>
  </cols>
  <sheetData>
    <row r="1" spans="4:20" ht="13.5" customHeight="1" x14ac:dyDescent="0.35"/>
    <row r="2" spans="4:20" ht="4.5" hidden="1" customHeight="1" x14ac:dyDescent="0.35"/>
    <row r="3" spans="4:20" ht="37" customHeight="1" x14ac:dyDescent="0.8">
      <c r="D3" s="9"/>
      <c r="H3" s="13"/>
      <c r="I3" s="13"/>
      <c r="J3" s="12" t="s">
        <v>1422</v>
      </c>
      <c r="K3" s="13"/>
      <c r="L3" s="12"/>
      <c r="M3" s="13"/>
      <c r="N3" s="13"/>
      <c r="O3" s="13"/>
      <c r="P3" s="13"/>
      <c r="Q3" s="13"/>
      <c r="R3" s="13"/>
      <c r="S3" s="13"/>
      <c r="T3" s="13"/>
    </row>
    <row r="4" spans="4:20" ht="28.5" customHeight="1" x14ac:dyDescent="0.8">
      <c r="D4" s="9"/>
      <c r="L4" s="11"/>
    </row>
    <row r="5" spans="4:20" ht="26" x14ac:dyDescent="0.6">
      <c r="G5" s="15"/>
      <c r="H5" s="3" t="s">
        <v>1404</v>
      </c>
      <c r="I5" s="15"/>
      <c r="J5" s="3" t="s">
        <v>1406</v>
      </c>
      <c r="M5" s="3" t="s">
        <v>1407</v>
      </c>
      <c r="P5" s="3" t="s">
        <v>1409</v>
      </c>
      <c r="T5" s="3" t="s">
        <v>1410</v>
      </c>
    </row>
    <row r="6" spans="4:20" ht="23.5" x14ac:dyDescent="0.55000000000000004">
      <c r="E6" s="4"/>
      <c r="G6" s="4"/>
      <c r="H6" s="4">
        <f>SUM(Table1[Total_Sales])</f>
        <v>7385286</v>
      </c>
      <c r="I6" s="5"/>
      <c r="J6" s="4">
        <f>SUM(Table1[Profit])</f>
        <v>4161648</v>
      </c>
      <c r="K6" s="6"/>
      <c r="M6" s="16">
        <f>COUNTA(Table1[Order_ID])</f>
        <v>1000</v>
      </c>
      <c r="P6" s="6">
        <f>SUM(Table1[Profit])/SUM(Table1[Total_Sales])</f>
        <v>0.56350532667252151</v>
      </c>
      <c r="T6" s="7">
        <f>SUMIFS(Table1[Total_Sales], Table1[Month_Year], "Dec-2024")</f>
        <v>553722</v>
      </c>
    </row>
    <row r="45" spans="7:22" ht="18.5" x14ac:dyDescent="0.45">
      <c r="H45" s="8"/>
      <c r="I45" s="8"/>
      <c r="J45" s="8"/>
      <c r="K45" s="8"/>
      <c r="L45" s="8"/>
      <c r="M45" s="8"/>
      <c r="N45" s="8"/>
      <c r="O45" s="8"/>
      <c r="P45" s="8"/>
      <c r="Q45" s="8"/>
      <c r="R45" s="8"/>
      <c r="S45" s="8"/>
      <c r="T45" s="8"/>
      <c r="U45" s="8"/>
      <c r="V45" s="8"/>
    </row>
    <row r="46" spans="7:22" ht="18.5" x14ac:dyDescent="0.45">
      <c r="H46" s="8"/>
    </row>
    <row r="47" spans="7:22" ht="18.5" x14ac:dyDescent="0.45">
      <c r="G47" s="8"/>
      <c r="H47" s="8"/>
      <c r="I47" s="8"/>
      <c r="J47" s="8"/>
      <c r="K47" s="8"/>
      <c r="L47" s="8"/>
      <c r="M47" s="8"/>
      <c r="N47" s="8"/>
      <c r="O47" s="8"/>
      <c r="P47" s="8"/>
      <c r="Q47" s="8"/>
      <c r="R47" s="8"/>
      <c r="S47" s="8"/>
      <c r="T47" s="8"/>
    </row>
    <row r="48" spans="7:22" ht="26" x14ac:dyDescent="0.6">
      <c r="G48" s="10" t="s">
        <v>1421</v>
      </c>
      <c r="H48" s="18"/>
      <c r="I48" s="17"/>
      <c r="J48" s="8"/>
      <c r="K48" s="8"/>
      <c r="L48" s="8"/>
      <c r="M48" s="8"/>
      <c r="N48" s="8"/>
      <c r="O48" s="8"/>
      <c r="P48" s="8"/>
      <c r="Q48" s="8"/>
      <c r="R48" s="8"/>
      <c r="S48" s="8"/>
      <c r="T48" s="8"/>
    </row>
    <row r="49" spans="7:20" ht="18.5" x14ac:dyDescent="0.45">
      <c r="G49" s="8"/>
      <c r="H49" s="8"/>
      <c r="I49" s="8"/>
      <c r="J49" s="8"/>
      <c r="K49" s="8"/>
      <c r="L49" s="8"/>
      <c r="M49" s="8"/>
      <c r="N49" s="8"/>
      <c r="O49" s="8"/>
      <c r="P49" s="8"/>
      <c r="Q49" s="8"/>
      <c r="R49" s="8"/>
      <c r="S49" s="8"/>
      <c r="T49" s="8"/>
    </row>
    <row r="50" spans="7:20" ht="26" x14ac:dyDescent="0.6">
      <c r="G50" s="14" t="s">
        <v>1411</v>
      </c>
      <c r="H50" s="14"/>
      <c r="I50" s="14"/>
      <c r="J50" s="14"/>
      <c r="K50" s="14"/>
      <c r="L50" s="14"/>
      <c r="M50" s="14"/>
      <c r="N50" s="14"/>
      <c r="O50" s="14"/>
      <c r="P50" s="14"/>
      <c r="Q50" s="14"/>
      <c r="R50" s="8"/>
      <c r="S50" s="8"/>
      <c r="T50" s="8"/>
    </row>
    <row r="51" spans="7:20" ht="26" x14ac:dyDescent="0.6">
      <c r="G51" s="14" t="s">
        <v>1412</v>
      </c>
      <c r="H51" s="14"/>
      <c r="I51" s="14"/>
      <c r="J51" s="14"/>
      <c r="K51" s="14"/>
      <c r="L51" s="14"/>
      <c r="M51" s="14"/>
      <c r="N51" s="14"/>
      <c r="O51" s="14"/>
      <c r="P51" s="14"/>
      <c r="Q51" s="14"/>
      <c r="R51" s="8"/>
      <c r="S51" s="8"/>
      <c r="T51" s="8"/>
    </row>
    <row r="52" spans="7:20" ht="26" x14ac:dyDescent="0.6">
      <c r="G52" s="14"/>
      <c r="H52" s="14"/>
      <c r="I52" s="14"/>
      <c r="J52" s="14"/>
      <c r="K52" s="14"/>
      <c r="L52" s="14"/>
      <c r="M52" s="14"/>
      <c r="N52" s="14"/>
      <c r="O52" s="14"/>
      <c r="P52" s="14"/>
      <c r="Q52" s="14"/>
      <c r="R52" s="8"/>
      <c r="S52" s="8"/>
      <c r="T52" s="8"/>
    </row>
    <row r="53" spans="7:20" ht="26" x14ac:dyDescent="0.6">
      <c r="G53" s="14" t="s">
        <v>1413</v>
      </c>
      <c r="H53" s="14"/>
      <c r="I53" s="14"/>
      <c r="J53" s="14"/>
      <c r="K53" s="14"/>
      <c r="L53" s="14"/>
      <c r="M53" s="14"/>
      <c r="N53" s="14"/>
      <c r="O53" s="14"/>
      <c r="P53" s="14"/>
      <c r="Q53" s="14"/>
      <c r="R53" s="8"/>
      <c r="S53" s="8"/>
      <c r="T53" s="8"/>
    </row>
    <row r="54" spans="7:20" ht="26" x14ac:dyDescent="0.6">
      <c r="G54" s="14" t="s">
        <v>1414</v>
      </c>
      <c r="H54" s="14"/>
      <c r="I54" s="14"/>
      <c r="J54" s="14"/>
      <c r="K54" s="14"/>
      <c r="L54" s="14"/>
      <c r="M54" s="14"/>
      <c r="N54" s="14"/>
      <c r="O54" s="14"/>
      <c r="P54" s="14"/>
      <c r="Q54" s="14"/>
      <c r="R54" s="8"/>
      <c r="S54" s="8"/>
      <c r="T54" s="8"/>
    </row>
    <row r="55" spans="7:20" ht="26" x14ac:dyDescent="0.6">
      <c r="G55" s="14"/>
      <c r="H55" s="14"/>
      <c r="I55" s="14"/>
      <c r="J55" s="14"/>
      <c r="K55" s="14"/>
      <c r="L55" s="14"/>
      <c r="M55" s="14"/>
      <c r="N55" s="14"/>
      <c r="O55" s="14"/>
      <c r="P55" s="14"/>
      <c r="Q55" s="14"/>
      <c r="R55" s="8"/>
      <c r="S55" s="8"/>
      <c r="T55" s="8"/>
    </row>
    <row r="56" spans="7:20" ht="26" x14ac:dyDescent="0.6">
      <c r="G56" s="14" t="s">
        <v>1415</v>
      </c>
      <c r="H56" s="14"/>
      <c r="I56" s="14"/>
      <c r="J56" s="14"/>
      <c r="K56" s="14"/>
      <c r="L56" s="14"/>
      <c r="M56" s="14"/>
      <c r="N56" s="14"/>
      <c r="O56" s="14"/>
      <c r="P56" s="14"/>
      <c r="Q56" s="14"/>
      <c r="R56" s="8"/>
      <c r="S56" s="8"/>
      <c r="T56" s="8"/>
    </row>
    <row r="57" spans="7:20" ht="26" x14ac:dyDescent="0.6">
      <c r="G57" s="14" t="s">
        <v>1416</v>
      </c>
      <c r="H57" s="14"/>
      <c r="I57" s="14"/>
      <c r="J57" s="14"/>
      <c r="K57" s="14"/>
      <c r="L57" s="14"/>
      <c r="M57" s="14"/>
      <c r="N57" s="14"/>
      <c r="O57" s="14"/>
      <c r="P57" s="14"/>
      <c r="Q57" s="14"/>
      <c r="R57" s="8"/>
      <c r="S57" s="8"/>
      <c r="T57" s="8"/>
    </row>
    <row r="58" spans="7:20" ht="26" x14ac:dyDescent="0.6">
      <c r="G58" s="14"/>
      <c r="H58" s="14"/>
      <c r="I58" s="14"/>
      <c r="J58" s="14"/>
      <c r="K58" s="14"/>
      <c r="L58" s="14"/>
      <c r="M58" s="14"/>
      <c r="N58" s="14"/>
      <c r="O58" s="14"/>
      <c r="P58" s="14"/>
      <c r="Q58" s="14"/>
      <c r="R58" s="8"/>
      <c r="S58" s="8"/>
      <c r="T58" s="8"/>
    </row>
    <row r="59" spans="7:20" ht="26" x14ac:dyDescent="0.6">
      <c r="G59" s="14" t="s">
        <v>1418</v>
      </c>
      <c r="H59" s="14"/>
      <c r="I59" s="14"/>
      <c r="J59" s="14"/>
      <c r="K59" s="14"/>
      <c r="L59" s="14"/>
      <c r="M59" s="14"/>
      <c r="N59" s="14"/>
      <c r="O59" s="14"/>
      <c r="P59" s="14"/>
      <c r="Q59" s="14"/>
      <c r="R59" s="8"/>
      <c r="S59" s="8"/>
      <c r="T59" s="8"/>
    </row>
    <row r="60" spans="7:20" ht="26" x14ac:dyDescent="0.6">
      <c r="G60" s="14" t="s">
        <v>1417</v>
      </c>
      <c r="H60" s="14"/>
      <c r="I60" s="14"/>
      <c r="J60" s="14"/>
      <c r="K60" s="14"/>
      <c r="L60" s="14"/>
      <c r="M60" s="14"/>
      <c r="N60" s="14"/>
      <c r="O60" s="14"/>
      <c r="P60" s="14"/>
      <c r="Q60" s="14"/>
      <c r="R60" s="8"/>
      <c r="S60" s="8"/>
      <c r="T60" s="8"/>
    </row>
    <row r="61" spans="7:20" ht="26" x14ac:dyDescent="0.6">
      <c r="G61" s="14"/>
      <c r="H61" s="14"/>
      <c r="I61" s="14"/>
      <c r="J61" s="14"/>
      <c r="K61" s="14"/>
      <c r="L61" s="14"/>
      <c r="M61" s="14"/>
      <c r="N61" s="14"/>
      <c r="O61" s="14"/>
      <c r="P61" s="14"/>
      <c r="Q61" s="14"/>
      <c r="R61" s="8"/>
      <c r="S61" s="8"/>
      <c r="T61" s="8"/>
    </row>
    <row r="62" spans="7:20" ht="26" x14ac:dyDescent="0.6">
      <c r="G62" s="14" t="s">
        <v>1419</v>
      </c>
      <c r="H62" s="14"/>
      <c r="I62" s="14"/>
      <c r="J62" s="14"/>
      <c r="K62" s="14"/>
      <c r="L62" s="14"/>
      <c r="M62" s="14"/>
      <c r="N62" s="14"/>
      <c r="O62" s="14"/>
      <c r="P62" s="14"/>
      <c r="Q62" s="14"/>
      <c r="R62" s="8"/>
      <c r="S62" s="8"/>
      <c r="T62" s="8"/>
    </row>
    <row r="63" spans="7:20" ht="26" x14ac:dyDescent="0.6">
      <c r="G63" s="14" t="s">
        <v>1420</v>
      </c>
      <c r="H63" s="14"/>
      <c r="I63" s="14"/>
      <c r="J63" s="14"/>
      <c r="K63" s="14"/>
      <c r="L63" s="14"/>
      <c r="M63" s="14"/>
      <c r="N63" s="14"/>
      <c r="O63" s="14"/>
      <c r="P63" s="14"/>
      <c r="Q63" s="14"/>
      <c r="R63" s="8"/>
      <c r="S63" s="8"/>
      <c r="T63" s="8"/>
    </row>
    <row r="64" spans="7:20" ht="26" x14ac:dyDescent="0.6">
      <c r="G64" s="14"/>
      <c r="H64" s="14"/>
      <c r="I64" s="14"/>
      <c r="J64" s="14"/>
      <c r="K64" s="14"/>
      <c r="L64" s="14"/>
      <c r="M64" s="14"/>
      <c r="N64" s="14"/>
      <c r="O64" s="14"/>
      <c r="P64" s="14"/>
      <c r="Q64" s="14"/>
      <c r="R64" s="8"/>
      <c r="S64" s="8"/>
      <c r="T64" s="8"/>
    </row>
    <row r="65" spans="7:20" ht="18.5" x14ac:dyDescent="0.45">
      <c r="G65" s="8"/>
      <c r="H65" s="8"/>
      <c r="I65" s="8"/>
      <c r="J65" s="8"/>
      <c r="K65" s="8"/>
      <c r="L65" s="8"/>
      <c r="M65" s="8"/>
      <c r="N65" s="8"/>
      <c r="O65" s="8"/>
      <c r="P65" s="8"/>
      <c r="Q65" s="8"/>
      <c r="R65" s="8"/>
      <c r="S65" s="8"/>
      <c r="T65" s="8"/>
    </row>
  </sheetData>
  <pageMargins left="0.25" right="0.25" top="0.75" bottom="0.75" header="0.3" footer="0.3"/>
  <pageSetup scale="42"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Sales Data</vt:lpstr>
      <vt:lpstr>Product_Master</vt:lpstr>
      <vt:lpstr>Customer_Master</vt:lpstr>
      <vt:lpstr>Analysis</vt:lpstr>
      <vt:lpstr>Sales Dashboard</vt:lpstr>
      <vt:lpstr>'Sales 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Abirami B</cp:lastModifiedBy>
  <cp:lastPrinted>2026-01-05T09:56:57Z</cp:lastPrinted>
  <dcterms:created xsi:type="dcterms:W3CDTF">2026-01-04T15:01:12Z</dcterms:created>
  <dcterms:modified xsi:type="dcterms:W3CDTF">2026-01-05T09:57:42Z</dcterms:modified>
</cp:coreProperties>
</file>